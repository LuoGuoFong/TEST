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分行明細" sheetId="1" state="visible" r:id="rId3"/>
    <sheet name="115達成分布" sheetId="2" state="visible" r:id="rId4"/>
    <sheet name="級距彙總" sheetId="3" state="visible" r:id="rId5"/>
    <sheet name="流向矩陣" sheetId="4" state="visible" r:id="rId6"/>
    <sheet name="缺口瀑布" sheetId="5" state="visible" r:id="rId7"/>
    <sheet name="未達75%情境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<sst xmlns="http://schemas.openxmlformats.org/spreadsheetml/2006/main" count="947" uniqueCount="343">
  <si>
    <r>
      <rPr>
        <b val="true"/>
        <sz val="11"/>
        <rFont val="WenQuanYi Zen Hei"/>
        <family val="2"/>
      </rPr>
      <t xml:space="preserve">分行明細（資料來源：原檔「</t>
    </r>
    <r>
      <rPr>
        <b val="true"/>
        <sz val="11"/>
        <rFont val="Arial"/>
        <family val="0"/>
        <charset val="1"/>
      </rPr>
      <t xml:space="preserve">116</t>
    </r>
    <r>
      <rPr>
        <b val="true"/>
        <sz val="11"/>
        <rFont val="WenQuanYi Zen Hei"/>
        <family val="2"/>
      </rPr>
      <t xml:space="preserve">目標底稿</t>
    </r>
    <r>
      <rPr>
        <b val="true"/>
        <sz val="11"/>
        <rFont val="Arial"/>
        <family val="0"/>
        <charset val="1"/>
      </rPr>
      <t xml:space="preserve">ver1</t>
    </r>
    <r>
      <rPr>
        <b val="true"/>
        <sz val="11"/>
        <rFont val="WenQuanYi Zen Hei"/>
        <family val="2"/>
      </rPr>
      <t xml:space="preserve">」</t>
    </r>
    <r>
      <rPr>
        <b val="true"/>
        <sz val="11"/>
        <rFont val="Arial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Arial"/>
        <family val="0"/>
        <charset val="1"/>
      </rPr>
      <t xml:space="preserve">B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Arial"/>
        <family val="0"/>
        <charset val="1"/>
      </rPr>
      <t xml:space="preserve">C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Arial"/>
        <family val="0"/>
        <charset val="1"/>
      </rPr>
      <t xml:space="preserve">D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Arial"/>
        <family val="0"/>
        <charset val="1"/>
      </rPr>
      <t xml:space="preserve">E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Arial"/>
        <family val="0"/>
        <charset val="1"/>
      </rPr>
      <t xml:space="preserve">F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Arial"/>
        <family val="0"/>
        <charset val="1"/>
      </rPr>
      <t xml:space="preserve">H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Arial"/>
        <family val="0"/>
        <charset val="1"/>
      </rPr>
      <t xml:space="preserve">J </t>
    </r>
    <r>
      <rPr>
        <b val="true"/>
        <sz val="11"/>
        <rFont val="WenQuanYi Zen Hei"/>
        <family val="2"/>
      </rPr>
      <t xml:space="preserve">欄；</t>
    </r>
    <r>
      <rPr>
        <b val="true"/>
        <sz val="11"/>
        <rFont val="Arial"/>
        <family val="0"/>
        <charset val="1"/>
      </rPr>
      <t xml:space="preserve">114</t>
    </r>
    <r>
      <rPr>
        <b val="true"/>
        <sz val="11"/>
        <rFont val="WenQuanYi Zen Hei"/>
        <family val="2"/>
      </rPr>
      <t xml:space="preserve">年目標／實績取自「財管手收比較表</t>
    </r>
    <r>
      <rPr>
        <b val="true"/>
        <sz val="11"/>
        <rFont val="Arial"/>
        <family val="0"/>
        <charset val="1"/>
      </rPr>
      <t xml:space="preserve">_</t>
    </r>
    <r>
      <rPr>
        <b val="true"/>
        <sz val="11"/>
        <rFont val="WenQuanYi Zen Hei"/>
        <family val="2"/>
      </rPr>
      <t xml:space="preserve">值」</t>
    </r>
    <r>
      <rPr>
        <b val="true"/>
        <sz val="11"/>
        <rFont val="Arial"/>
        <family val="0"/>
        <charset val="1"/>
      </rPr>
      <t xml:space="preserve">P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Arial"/>
        <family val="0"/>
        <charset val="1"/>
      </rPr>
      <t xml:space="preserve">Q </t>
    </r>
    <r>
      <rPr>
        <b val="true"/>
        <sz val="11"/>
        <rFont val="WenQuanYi Zen Hei"/>
        <family val="2"/>
      </rPr>
      <t xml:space="preserve">欄）</t>
    </r>
  </si>
  <si>
    <r>
      <rPr>
        <sz val="9"/>
        <color rgb="FF7F7F7F"/>
        <rFont val="WenQuanYi Zen Hei"/>
        <family val="2"/>
      </rPr>
      <t xml:space="preserve">藍字＝由原檔複製之輸入值；黑字＝公式。</t>
    </r>
    <r>
      <rPr>
        <sz val="9"/>
        <color rgb="FF7F7F7F"/>
        <rFont val="Arial"/>
        <family val="0"/>
        <charset val="1"/>
      </rPr>
      <t xml:space="preserve">114TYPE</t>
    </r>
    <r>
      <rPr>
        <sz val="9"/>
        <color rgb="FF7F7F7F"/>
        <rFont val="WenQuanYi Zen Hei"/>
        <family val="2"/>
      </rPr>
      <t xml:space="preserve">／</t>
    </r>
    <r>
      <rPr>
        <sz val="9"/>
        <color rgb="FF7F7F7F"/>
        <rFont val="Arial"/>
        <family val="0"/>
        <charset val="1"/>
      </rPr>
      <t xml:space="preserve">115TYPE </t>
    </r>
    <r>
      <rPr>
        <sz val="9"/>
        <color rgb="FF7F7F7F"/>
        <rFont val="WenQuanYi Zen Hei"/>
        <family val="2"/>
      </rPr>
      <t xml:space="preserve">為原檔之分群（</t>
    </r>
    <r>
      <rPr>
        <sz val="9"/>
        <color rgb="FF7F7F7F"/>
        <rFont val="Arial"/>
        <family val="0"/>
        <charset val="1"/>
      </rPr>
      <t xml:space="preserve">COMPARE114 </t>
    </r>
    <r>
      <rPr>
        <sz val="9"/>
        <color rgb="FF7F7F7F"/>
        <rFont val="WenQuanYi Zen Hei"/>
        <family val="2"/>
      </rPr>
      <t xml:space="preserve">樞紐表來源）。</t>
    </r>
  </si>
  <si>
    <t xml:space="preserve">序號</t>
  </si>
  <si>
    <t xml:space="preserve">通路別</t>
  </si>
  <si>
    <t xml:space="preserve">單位代號</t>
  </si>
  <si>
    <t xml:space="preserve">單位名稱</t>
  </si>
  <si>
    <r>
      <rPr>
        <b val="true"/>
        <sz val="10"/>
        <color rgb="FFFFFFFF"/>
        <rFont val="Arial"/>
        <family val="0"/>
        <charset val="1"/>
      </rPr>
      <t xml:space="preserve">114TYPE
(114</t>
    </r>
    <r>
      <rPr>
        <b val="true"/>
        <sz val="10"/>
        <color rgb="FFFFFFFF"/>
        <rFont val="WenQuanYi Zen Hei"/>
        <family val="2"/>
      </rPr>
      <t xml:space="preserve">年達成率級距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</si>
  <si>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115TYPE
(115</t>
    </r>
    <r>
      <rPr>
        <b val="true"/>
        <sz val="10"/>
        <color rgb="FFFFFFFF"/>
        <rFont val="WenQuanYi Zen Hei"/>
        <family val="2"/>
      </rPr>
      <t xml:space="preserve">年達成率級距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</si>
  <si>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114</t>
    </r>
    <r>
      <rPr>
        <b val="true"/>
        <sz val="10"/>
        <color rgb="FFFFFFFF"/>
        <rFont val="WenQuanYi Zen Hei"/>
        <family val="2"/>
      </rPr>
      <t xml:space="preserve">年目標</t>
    </r>
  </si>
  <si>
    <r>
      <rPr>
        <b val="true"/>
        <sz val="10"/>
        <color rgb="FFFFFFFF"/>
        <rFont val="Arial"/>
        <family val="0"/>
        <charset val="1"/>
      </rPr>
      <t xml:space="preserve">114</t>
    </r>
    <r>
      <rPr>
        <b val="true"/>
        <sz val="10"/>
        <color rgb="FFFFFFFF"/>
        <rFont val="WenQuanYi Zen Hei"/>
        <family val="2"/>
      </rPr>
      <t xml:space="preserve">年年化實績</t>
    </r>
  </si>
  <si>
    <r>
      <rPr>
        <b val="true"/>
        <sz val="10"/>
        <color rgb="FFFFFFFF"/>
        <rFont val="Arial"/>
        <family val="0"/>
        <charset val="1"/>
      </rPr>
      <t xml:space="preserve">114</t>
    </r>
    <r>
      <rPr>
        <b val="true"/>
        <sz val="10"/>
        <color rgb="FFFFFFFF"/>
        <rFont val="WenQuanYi Zen Hei"/>
        <family val="2"/>
      </rPr>
      <t xml:space="preserve">年達成率</t>
    </r>
  </si>
  <si>
    <r>
      <rPr>
        <b val="true"/>
        <sz val="10"/>
        <color rgb="FFFFFFFF"/>
        <rFont val="Arial"/>
        <family val="0"/>
        <charset val="1"/>
      </rPr>
      <t xml:space="preserve">115</t>
    </r>
    <r>
      <rPr>
        <b val="true"/>
        <sz val="10"/>
        <color rgb="FFFFFFFF"/>
        <rFont val="WenQuanYi Zen Hei"/>
        <family val="2"/>
      </rPr>
      <t xml:space="preserve">年目標</t>
    </r>
  </si>
  <si>
    <r>
      <rPr>
        <b val="true"/>
        <sz val="10"/>
        <color rgb="FFFFFFFF"/>
        <rFont val="Arial"/>
        <family val="0"/>
        <charset val="1"/>
      </rPr>
      <t xml:space="preserve">115</t>
    </r>
    <r>
      <rPr>
        <b val="true"/>
        <sz val="10"/>
        <color rgb="FFFFFFFF"/>
        <rFont val="WenQuanYi Zen Hei"/>
        <family val="2"/>
      </rPr>
      <t xml:space="preserve">年年化實績</t>
    </r>
  </si>
  <si>
    <r>
      <rPr>
        <b val="true"/>
        <sz val="10"/>
        <color rgb="FFFFFFFF"/>
        <rFont val="Arial"/>
        <family val="0"/>
        <charset val="1"/>
      </rPr>
      <t xml:space="preserve">115</t>
    </r>
    <r>
      <rPr>
        <b val="true"/>
        <sz val="10"/>
        <color rgb="FFFFFFFF"/>
        <rFont val="WenQuanYi Zen Hei"/>
        <family val="2"/>
      </rPr>
      <t xml:space="preserve">年達成率</t>
    </r>
  </si>
  <si>
    <r>
      <rPr>
        <b val="true"/>
        <sz val="10"/>
        <color rgb="FFFFFFFF"/>
        <rFont val="Arial"/>
        <family val="0"/>
        <charset val="1"/>
      </rPr>
      <t xml:space="preserve">115</t>
    </r>
    <r>
      <rPr>
        <b val="true"/>
        <sz val="10"/>
        <color rgb="FFFFFFFF"/>
        <rFont val="WenQuanYi Zen Hei"/>
        <family val="2"/>
      </rPr>
      <t xml:space="preserve">年目標較
</t>
    </r>
    <r>
      <rPr>
        <b val="true"/>
        <sz val="10"/>
        <color rgb="FFFFFFFF"/>
        <rFont val="Arial"/>
        <family val="0"/>
        <charset val="1"/>
      </rPr>
      <t xml:space="preserve">114</t>
    </r>
    <r>
      <rPr>
        <b val="true"/>
        <sz val="10"/>
        <color rgb="FFFFFFFF"/>
        <rFont val="WenQuanYi Zen Hei"/>
        <family val="2"/>
      </rPr>
      <t xml:space="preserve">年實績成長率</t>
    </r>
  </si>
  <si>
    <r>
      <rPr>
        <b val="true"/>
        <sz val="10"/>
        <color rgb="FFFFFFFF"/>
        <rFont val="Arial"/>
        <family val="0"/>
        <charset val="1"/>
      </rPr>
      <t xml:space="preserve">115</t>
    </r>
    <r>
      <rPr>
        <b val="true"/>
        <sz val="10"/>
        <color rgb="FFFFFFFF"/>
        <rFont val="WenQuanYi Zen Hei"/>
        <family val="2"/>
      </rPr>
      <t xml:space="preserve">年超額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缺口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實績−目標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</si>
  <si>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115</t>
    </r>
    <r>
      <rPr>
        <b val="true"/>
        <sz val="10"/>
        <color rgb="FFFFFFFF"/>
        <rFont val="WenQuanYi Zen Hei"/>
        <family val="2"/>
      </rPr>
      <t xml:space="preserve">年超額
</t>
    </r>
    <r>
      <rPr>
        <b val="true"/>
        <sz val="10"/>
        <color rgb="FFFFFFFF"/>
        <rFont val="Arial"/>
        <family val="0"/>
        <charset val="1"/>
      </rPr>
      <t xml:space="preserve">(≥0)</t>
    </r>
  </si>
  <si>
    <r>
      <rPr>
        <b val="true"/>
        <sz val="10"/>
        <color rgb="FFFFFFFF"/>
        <rFont val="Arial"/>
        <family val="0"/>
        <charset val="1"/>
      </rPr>
      <t xml:space="preserve">115</t>
    </r>
    <r>
      <rPr>
        <b val="true"/>
        <sz val="10"/>
        <color rgb="FFFFFFFF"/>
        <rFont val="WenQuanYi Zen Hei"/>
        <family val="2"/>
      </rPr>
      <t xml:space="preserve">年缺口
</t>
    </r>
    <r>
      <rPr>
        <b val="true"/>
        <sz val="10"/>
        <color rgb="FFFFFFFF"/>
        <rFont val="Arial"/>
        <family val="0"/>
        <charset val="1"/>
      </rPr>
      <t xml:space="preserve">(&lt;0)</t>
    </r>
  </si>
  <si>
    <r>
      <rPr>
        <b val="true"/>
        <sz val="10"/>
        <color rgb="FFFFFFFF"/>
        <rFont val="Arial"/>
        <family val="0"/>
        <charset val="1"/>
      </rPr>
      <t xml:space="preserve">115</t>
    </r>
    <r>
      <rPr>
        <b val="true"/>
        <sz val="10"/>
        <color rgb="FFFFFFFF"/>
        <rFont val="WenQuanYi Zen Hei"/>
        <family val="2"/>
      </rPr>
      <t xml:space="preserve">年達成率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四捨五入</t>
    </r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位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</si>
  <si>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北一區</t>
  </si>
  <si>
    <t xml:space="preserve">營業部</t>
  </si>
  <si>
    <t xml:space="preserve">TYPE_4</t>
  </si>
  <si>
    <t xml:space="preserve">TYPE_3</t>
  </si>
  <si>
    <t xml:space="preserve">儲蓄分行</t>
  </si>
  <si>
    <t xml:space="preserve">TYPE_9</t>
  </si>
  <si>
    <t xml:space="preserve">TYPE_6</t>
  </si>
  <si>
    <t xml:space="preserve">城內分行</t>
  </si>
  <si>
    <t xml:space="preserve">TYPE_7</t>
  </si>
  <si>
    <t xml:space="preserve">TYPE_5</t>
  </si>
  <si>
    <t xml:space="preserve">大稻埕分行</t>
  </si>
  <si>
    <t xml:space="preserve">TYPE_8</t>
  </si>
  <si>
    <t xml:space="preserve">建成分行</t>
  </si>
  <si>
    <t xml:space="preserve">中山分行</t>
  </si>
  <si>
    <t xml:space="preserve">圓山分行</t>
  </si>
  <si>
    <t xml:space="preserve">城東分行</t>
  </si>
  <si>
    <t xml:space="preserve">西門分行</t>
  </si>
  <si>
    <t xml:space="preserve">南松山分行</t>
  </si>
  <si>
    <t xml:space="preserve">仁愛路分行</t>
  </si>
  <si>
    <t xml:space="preserve">TYPE_2</t>
  </si>
  <si>
    <t xml:space="preserve">南京東路分行</t>
  </si>
  <si>
    <t xml:space="preserve">新生分行</t>
  </si>
  <si>
    <t xml:space="preserve">大同分行</t>
  </si>
  <si>
    <t xml:space="preserve">松山分行</t>
  </si>
  <si>
    <t xml:space="preserve">中崙分行</t>
  </si>
  <si>
    <t xml:space="preserve">台北南門分行</t>
  </si>
  <si>
    <t xml:space="preserve">公館分行</t>
  </si>
  <si>
    <t xml:space="preserve">信義分行</t>
  </si>
  <si>
    <t xml:space="preserve">忠孝東路分行</t>
  </si>
  <si>
    <t xml:space="preserve">和平分行</t>
  </si>
  <si>
    <t xml:space="preserve">雙園分行</t>
  </si>
  <si>
    <t xml:space="preserve">士林分行</t>
  </si>
  <si>
    <t xml:space="preserve">東台北分行</t>
  </si>
  <si>
    <t xml:space="preserve">大安分行</t>
  </si>
  <si>
    <t xml:space="preserve">民生分行</t>
  </si>
  <si>
    <t xml:space="preserve">復興分行</t>
  </si>
  <si>
    <t xml:space="preserve">龍江分行</t>
  </si>
  <si>
    <t xml:space="preserve">永吉分行</t>
  </si>
  <si>
    <t xml:space="preserve">敦化分行</t>
  </si>
  <si>
    <t xml:space="preserve">大直分行</t>
  </si>
  <si>
    <t xml:space="preserve">敦和分行</t>
  </si>
  <si>
    <t xml:space="preserve">北二區</t>
  </si>
  <si>
    <t xml:space="preserve">東湖分行</t>
  </si>
  <si>
    <t xml:space="preserve">東興分行</t>
  </si>
  <si>
    <t xml:space="preserve">北南港分行</t>
  </si>
  <si>
    <t xml:space="preserve">南內湖分行</t>
  </si>
  <si>
    <t xml:space="preserve">長安分行</t>
  </si>
  <si>
    <t xml:space="preserve">懷生分行</t>
  </si>
  <si>
    <t xml:space="preserve">中華路分行</t>
  </si>
  <si>
    <t xml:space="preserve">信維分行</t>
  </si>
  <si>
    <t xml:space="preserve">埔墘分行</t>
  </si>
  <si>
    <t xml:space="preserve">石牌分行</t>
  </si>
  <si>
    <t xml:space="preserve">瑞祥分行</t>
  </si>
  <si>
    <t xml:space="preserve">台大分行</t>
  </si>
  <si>
    <t xml:space="preserve">世貿分行</t>
  </si>
  <si>
    <t xml:space="preserve">萬華分行</t>
  </si>
  <si>
    <t xml:space="preserve">南港分行</t>
  </si>
  <si>
    <t xml:space="preserve">華江分行</t>
  </si>
  <si>
    <t xml:space="preserve">板橋分行</t>
  </si>
  <si>
    <t xml:space="preserve">三重分行</t>
  </si>
  <si>
    <t xml:space="preserve">北三重分行</t>
  </si>
  <si>
    <t xml:space="preserve">北三區</t>
  </si>
  <si>
    <t xml:space="preserve">新莊分行</t>
  </si>
  <si>
    <t xml:space="preserve">永和分行</t>
  </si>
  <si>
    <t xml:space="preserve">中和分行</t>
  </si>
  <si>
    <t xml:space="preserve">新店分行</t>
  </si>
  <si>
    <t xml:space="preserve">淡水分行</t>
  </si>
  <si>
    <t xml:space="preserve">汐止分行</t>
  </si>
  <si>
    <t xml:space="preserve">南永和分行</t>
  </si>
  <si>
    <t xml:space="preserve">西三重分行</t>
  </si>
  <si>
    <t xml:space="preserve">南三重分行</t>
  </si>
  <si>
    <t xml:space="preserve">雙和分行</t>
  </si>
  <si>
    <t xml:space="preserve">新泰分行</t>
  </si>
  <si>
    <t xml:space="preserve">二重分行</t>
  </si>
  <si>
    <t xml:space="preserve">板新分行</t>
  </si>
  <si>
    <t xml:space="preserve">五股分行</t>
  </si>
  <si>
    <t xml:space="preserve">潭美分行</t>
  </si>
  <si>
    <t xml:space="preserve">TYPE_1</t>
  </si>
  <si>
    <t xml:space="preserve">北投分行</t>
  </si>
  <si>
    <t xml:space="preserve">西湖分行</t>
  </si>
  <si>
    <t xml:space="preserve">積穗分行</t>
  </si>
  <si>
    <t xml:space="preserve">福和分行</t>
  </si>
  <si>
    <t xml:space="preserve">南勢角分行</t>
  </si>
  <si>
    <t xml:space="preserve">北蘆洲分行</t>
  </si>
  <si>
    <t xml:space="preserve">蘆洲分行</t>
  </si>
  <si>
    <t xml:space="preserve">土城分行</t>
  </si>
  <si>
    <t xml:space="preserve">北新分行</t>
  </si>
  <si>
    <t xml:space="preserve">天母分行</t>
  </si>
  <si>
    <t xml:space="preserve">內湖分行</t>
  </si>
  <si>
    <t xml:space="preserve">樹林分行</t>
  </si>
  <si>
    <t xml:space="preserve">樟樹灣分行</t>
  </si>
  <si>
    <t xml:space="preserve">泰山分行</t>
  </si>
  <si>
    <t xml:space="preserve">三峽分行</t>
  </si>
  <si>
    <t xml:space="preserve">文山分行</t>
  </si>
  <si>
    <t xml:space="preserve">鶯歌分行</t>
  </si>
  <si>
    <t xml:space="preserve">北新莊分行</t>
  </si>
  <si>
    <t xml:space="preserve">林口站前分行</t>
  </si>
  <si>
    <t xml:space="preserve">基隆分行</t>
  </si>
  <si>
    <t xml:space="preserve">基隆港口分行</t>
  </si>
  <si>
    <t xml:space="preserve">七堵分行</t>
  </si>
  <si>
    <t xml:space="preserve">羅東分行</t>
  </si>
  <si>
    <t xml:space="preserve">宜蘭分行</t>
  </si>
  <si>
    <t xml:space="preserve">桃園分行</t>
  </si>
  <si>
    <t xml:space="preserve">中壢分行</t>
  </si>
  <si>
    <t xml:space="preserve">楊梅分行</t>
  </si>
  <si>
    <t xml:space="preserve">壢昌分行</t>
  </si>
  <si>
    <t xml:space="preserve">北桃園分行</t>
  </si>
  <si>
    <t xml:space="preserve">南崁分行</t>
  </si>
  <si>
    <t xml:space="preserve">平鎮分行</t>
  </si>
  <si>
    <t xml:space="preserve">八德分行</t>
  </si>
  <si>
    <t xml:space="preserve">龜山分行</t>
  </si>
  <si>
    <t xml:space="preserve">龍潭分行</t>
  </si>
  <si>
    <t xml:space="preserve">大溪分行</t>
  </si>
  <si>
    <t xml:space="preserve">內壢分行</t>
  </si>
  <si>
    <t xml:space="preserve">林口分行</t>
  </si>
  <si>
    <t xml:space="preserve">觀音分行</t>
  </si>
  <si>
    <t xml:space="preserve">大園分行</t>
  </si>
  <si>
    <t xml:space="preserve">青埔分行</t>
  </si>
  <si>
    <t xml:space="preserve">新竹分行</t>
  </si>
  <si>
    <t xml:space="preserve">竹東分行</t>
  </si>
  <si>
    <t xml:space="preserve">竹科分行</t>
  </si>
  <si>
    <t xml:space="preserve">新豐分行</t>
  </si>
  <si>
    <t xml:space="preserve">六家分行</t>
  </si>
  <si>
    <t xml:space="preserve">中區</t>
  </si>
  <si>
    <t xml:space="preserve">竹南分行</t>
  </si>
  <si>
    <t xml:space="preserve">頭份分行</t>
  </si>
  <si>
    <t xml:space="preserve">苗栗分行</t>
  </si>
  <si>
    <t xml:space="preserve">竹北分行</t>
  </si>
  <si>
    <t xml:space="preserve">大眾分行</t>
  </si>
  <si>
    <t xml:space="preserve">豐原分行</t>
  </si>
  <si>
    <t xml:space="preserve">東勢分行</t>
  </si>
  <si>
    <t xml:space="preserve">清水分行</t>
  </si>
  <si>
    <t xml:space="preserve">西豐原分行</t>
  </si>
  <si>
    <t xml:space="preserve">台中分行</t>
  </si>
  <si>
    <t xml:space="preserve">南台中分行</t>
  </si>
  <si>
    <t xml:space="preserve">北台中分行</t>
  </si>
  <si>
    <t xml:space="preserve">台中港路分行</t>
  </si>
  <si>
    <t xml:space="preserve">大里分行</t>
  </si>
  <si>
    <t xml:space="preserve">水湳分行</t>
  </si>
  <si>
    <t xml:space="preserve">五權分行</t>
  </si>
  <si>
    <t xml:space="preserve">大甲分行</t>
  </si>
  <si>
    <t xml:space="preserve">太平分行</t>
  </si>
  <si>
    <t xml:space="preserve">中科分行</t>
  </si>
  <si>
    <t xml:space="preserve">沙鹿分行</t>
  </si>
  <si>
    <t xml:space="preserve">草屯分行</t>
  </si>
  <si>
    <t xml:space="preserve">南投分行</t>
  </si>
  <si>
    <t xml:space="preserve">彰化分行</t>
  </si>
  <si>
    <t xml:space="preserve">和美分行</t>
  </si>
  <si>
    <t xml:space="preserve">員林分行</t>
  </si>
  <si>
    <t xml:space="preserve">鹿港分行</t>
  </si>
  <si>
    <t xml:space="preserve">溪湖分行</t>
  </si>
  <si>
    <t xml:space="preserve">斗六分行</t>
  </si>
  <si>
    <t xml:space="preserve">虎尾分行</t>
  </si>
  <si>
    <t xml:space="preserve">西螺分行</t>
  </si>
  <si>
    <t xml:space="preserve">嘉義分行</t>
  </si>
  <si>
    <t xml:space="preserve">嘉南分行</t>
  </si>
  <si>
    <t xml:space="preserve">朴子分行</t>
  </si>
  <si>
    <t xml:space="preserve">南區</t>
  </si>
  <si>
    <t xml:space="preserve">新營分行</t>
  </si>
  <si>
    <t xml:space="preserve">麻豆分行</t>
  </si>
  <si>
    <t xml:space="preserve">永康分行</t>
  </si>
  <si>
    <t xml:space="preserve">台南分行</t>
  </si>
  <si>
    <t xml:space="preserve">東台南分行</t>
  </si>
  <si>
    <t xml:space="preserve">西台南分行</t>
  </si>
  <si>
    <t xml:space="preserve">北台南分行</t>
  </si>
  <si>
    <t xml:space="preserve">南都分行</t>
  </si>
  <si>
    <t xml:space="preserve">安南分行</t>
  </si>
  <si>
    <t xml:space="preserve">仁德分行</t>
  </si>
  <si>
    <t xml:space="preserve">新市分行</t>
  </si>
  <si>
    <t xml:space="preserve">金華分行</t>
  </si>
  <si>
    <t xml:space="preserve">高雄分行</t>
  </si>
  <si>
    <t xml:space="preserve">東苓分行</t>
  </si>
  <si>
    <t xml:space="preserve">新興分行</t>
  </si>
  <si>
    <t xml:space="preserve">高雄三民分行</t>
  </si>
  <si>
    <t xml:space="preserve">苓雅分行</t>
  </si>
  <si>
    <t xml:space="preserve">前鎮分行</t>
  </si>
  <si>
    <t xml:space="preserve">高雄博愛分行</t>
  </si>
  <si>
    <t xml:space="preserve">南高雄分行</t>
  </si>
  <si>
    <t xml:space="preserve">東高雄分行</t>
  </si>
  <si>
    <t xml:space="preserve">大昌分行</t>
  </si>
  <si>
    <t xml:space="preserve">北高雄分行</t>
  </si>
  <si>
    <t xml:space="preserve">楠梓分行　</t>
  </si>
  <si>
    <t xml:space="preserve">左營分行　</t>
  </si>
  <si>
    <t xml:space="preserve">岡山分行</t>
  </si>
  <si>
    <t xml:space="preserve">鳳山分行</t>
  </si>
  <si>
    <t xml:space="preserve">路竹分行</t>
  </si>
  <si>
    <t xml:space="preserve">仁武分行</t>
  </si>
  <si>
    <t xml:space="preserve">籬仔內分行</t>
  </si>
  <si>
    <t xml:space="preserve">五甲分行</t>
  </si>
  <si>
    <t xml:space="preserve">光華分行</t>
  </si>
  <si>
    <t xml:space="preserve">小港分行</t>
  </si>
  <si>
    <t xml:space="preserve">屏東分行</t>
  </si>
  <si>
    <t xml:space="preserve">內埔分行</t>
  </si>
  <si>
    <t xml:space="preserve">潮州分行</t>
  </si>
  <si>
    <t xml:space="preserve">花蓮分行</t>
  </si>
  <si>
    <t xml:space="preserve">台東分行</t>
  </si>
  <si>
    <t xml:space="preserve">營運總部分行</t>
  </si>
  <si>
    <t xml:space="preserve">合計</t>
  </si>
  <si>
    <r>
      <rPr>
        <b val="true"/>
        <sz val="11"/>
        <rFont val="Arial"/>
        <family val="0"/>
        <charset val="1"/>
      </rPr>
      <t xml:space="preserve">115</t>
    </r>
    <r>
      <rPr>
        <b val="true"/>
        <sz val="11"/>
        <rFont val="WenQuanYi Zen Hei"/>
        <family val="2"/>
      </rPr>
      <t xml:space="preserve">年年化達成率分布（簡報第</t>
    </r>
    <r>
      <rPr>
        <b val="true"/>
        <sz val="11"/>
        <rFont val="Arial"/>
        <family val="0"/>
        <charset val="1"/>
      </rPr>
      <t xml:space="preserve">10</t>
    </r>
    <r>
      <rPr>
        <b val="true"/>
        <sz val="11"/>
        <rFont val="WenQuanYi Zen Hei"/>
        <family val="2"/>
      </rPr>
      <t xml:space="preserve">頁）：依「分行明細」</t>
    </r>
    <r>
      <rPr>
        <b val="true"/>
        <sz val="11"/>
        <rFont val="Arial"/>
        <family val="0"/>
        <charset val="1"/>
      </rPr>
      <t xml:space="preserve">Q</t>
    </r>
    <r>
      <rPr>
        <b val="true"/>
        <sz val="11"/>
        <rFont val="WenQuanYi Zen Hei"/>
        <family val="2"/>
      </rPr>
      <t xml:space="preserve">欄（四捨五入</t>
    </r>
    <r>
      <rPr>
        <b val="true"/>
        <sz val="11"/>
        <rFont val="Arial"/>
        <family val="0"/>
        <charset val="1"/>
      </rPr>
      <t xml:space="preserve">2</t>
    </r>
    <r>
      <rPr>
        <b val="true"/>
        <sz val="11"/>
        <rFont val="WenQuanYi Zen Hei"/>
        <family val="2"/>
      </rPr>
      <t xml:space="preserve">位，與原檔分群一致）以 </t>
    </r>
    <r>
      <rPr>
        <b val="true"/>
        <sz val="11"/>
        <rFont val="Arial"/>
        <family val="0"/>
        <charset val="1"/>
      </rPr>
      <t xml:space="preserve">COUNTIFS </t>
    </r>
    <r>
      <rPr>
        <b val="true"/>
        <sz val="11"/>
        <rFont val="WenQuanYi Zen Hei"/>
        <family val="2"/>
      </rPr>
      <t xml:space="preserve">分組</t>
    </r>
  </si>
  <si>
    <t xml:space="preserve">達成率區間</t>
  </si>
  <si>
    <r>
      <rPr>
        <b val="true"/>
        <sz val="10"/>
        <color rgb="FFFFFFFF"/>
        <rFont val="WenQuanYi Zen Hei"/>
        <family val="2"/>
      </rPr>
      <t xml:space="preserve">下限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含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</si>
  <si>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上限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不含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</si>
  <si>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分行家數</t>
  </si>
  <si>
    <t xml:space="preserve">占比</t>
  </si>
  <si>
    <t xml:space="preserve">累計家數</t>
  </si>
  <si>
    <t xml:space="preserve">累計占比</t>
  </si>
  <si>
    <r>
      <rPr>
        <sz val="10"/>
        <rFont val="WenQuanYi Zen Hei"/>
        <family val="2"/>
      </rPr>
      <t xml:space="preserve">未達</t>
    </r>
    <r>
      <rPr>
        <sz val="10"/>
        <rFont val="Arial"/>
        <family val="0"/>
        <charset val="1"/>
      </rPr>
      <t xml:space="preserve">60%</t>
    </r>
  </si>
  <si>
    <r>
      <rPr>
        <sz val="10"/>
        <rFont val="Arial"/>
        <family val="0"/>
        <charset val="1"/>
      </rPr>
      <t xml:space="preserve">60</t>
    </r>
    <r>
      <rPr>
        <sz val="10"/>
        <rFont val="WenQuanYi Zen Hei"/>
        <family val="2"/>
      </rPr>
      <t xml:space="preserve">～</t>
    </r>
    <r>
      <rPr>
        <sz val="10"/>
        <rFont val="Arial"/>
        <family val="0"/>
        <charset val="1"/>
      </rPr>
      <t xml:space="preserve">70%</t>
    </r>
  </si>
  <si>
    <r>
      <rPr>
        <sz val="10"/>
        <rFont val="Arial"/>
        <family val="0"/>
        <charset val="1"/>
      </rPr>
      <t xml:space="preserve">70</t>
    </r>
    <r>
      <rPr>
        <sz val="10"/>
        <rFont val="WenQuanYi Zen Hei"/>
        <family val="2"/>
      </rPr>
      <t xml:space="preserve">～</t>
    </r>
    <r>
      <rPr>
        <sz val="10"/>
        <rFont val="Arial"/>
        <family val="0"/>
        <charset val="1"/>
      </rPr>
      <t xml:space="preserve">75%</t>
    </r>
  </si>
  <si>
    <r>
      <rPr>
        <sz val="10"/>
        <rFont val="Arial"/>
        <family val="0"/>
        <charset val="1"/>
      </rPr>
      <t xml:space="preserve">75</t>
    </r>
    <r>
      <rPr>
        <sz val="10"/>
        <rFont val="WenQuanYi Zen Hei"/>
        <family val="2"/>
      </rPr>
      <t xml:space="preserve">～</t>
    </r>
    <r>
      <rPr>
        <sz val="10"/>
        <rFont val="Arial"/>
        <family val="0"/>
        <charset val="1"/>
      </rPr>
      <t xml:space="preserve">80%</t>
    </r>
  </si>
  <si>
    <r>
      <rPr>
        <sz val="10"/>
        <rFont val="Arial"/>
        <family val="0"/>
        <charset val="1"/>
      </rPr>
      <t xml:space="preserve">80</t>
    </r>
    <r>
      <rPr>
        <sz val="10"/>
        <rFont val="WenQuanYi Zen Hei"/>
        <family val="2"/>
      </rPr>
      <t xml:space="preserve">～</t>
    </r>
    <r>
      <rPr>
        <sz val="10"/>
        <rFont val="Arial"/>
        <family val="0"/>
        <charset val="1"/>
      </rPr>
      <t xml:space="preserve">90%</t>
    </r>
  </si>
  <si>
    <r>
      <rPr>
        <sz val="10"/>
        <rFont val="Arial"/>
        <family val="0"/>
        <charset val="1"/>
      </rPr>
      <t xml:space="preserve">90</t>
    </r>
    <r>
      <rPr>
        <sz val="10"/>
        <rFont val="WenQuanYi Zen Hei"/>
        <family val="2"/>
      </rPr>
      <t xml:space="preserve">～</t>
    </r>
    <r>
      <rPr>
        <sz val="10"/>
        <rFont val="Arial"/>
        <family val="0"/>
        <charset val="1"/>
      </rPr>
      <t xml:space="preserve">100%</t>
    </r>
  </si>
  <si>
    <r>
      <rPr>
        <sz val="10"/>
        <rFont val="Arial"/>
        <family val="0"/>
        <charset val="1"/>
      </rPr>
      <t xml:space="preserve">100</t>
    </r>
    <r>
      <rPr>
        <sz val="10"/>
        <rFont val="WenQuanYi Zen Hei"/>
        <family val="2"/>
      </rPr>
      <t xml:space="preserve">～</t>
    </r>
    <r>
      <rPr>
        <sz val="10"/>
        <rFont val="Arial"/>
        <family val="0"/>
        <charset val="1"/>
      </rPr>
      <t xml:space="preserve">110%</t>
    </r>
  </si>
  <si>
    <r>
      <rPr>
        <sz val="10"/>
        <rFont val="Arial"/>
        <family val="0"/>
        <charset val="1"/>
      </rPr>
      <t xml:space="preserve">110</t>
    </r>
    <r>
      <rPr>
        <sz val="10"/>
        <rFont val="WenQuanYi Zen Hei"/>
        <family val="2"/>
      </rPr>
      <t xml:space="preserve">～</t>
    </r>
    <r>
      <rPr>
        <sz val="10"/>
        <rFont val="Arial"/>
        <family val="0"/>
        <charset val="1"/>
      </rPr>
      <t xml:space="preserve">120%</t>
    </r>
  </si>
  <si>
    <r>
      <rPr>
        <sz val="10"/>
        <rFont val="Arial"/>
        <family val="0"/>
        <charset val="1"/>
      </rPr>
      <t xml:space="preserve">120</t>
    </r>
    <r>
      <rPr>
        <sz val="10"/>
        <rFont val="WenQuanYi Zen Hei"/>
        <family val="2"/>
      </rPr>
      <t xml:space="preserve">～</t>
    </r>
    <r>
      <rPr>
        <sz val="10"/>
        <rFont val="Arial"/>
        <family val="0"/>
        <charset val="1"/>
      </rPr>
      <t xml:space="preserve">130%</t>
    </r>
  </si>
  <si>
    <r>
      <rPr>
        <sz val="10"/>
        <rFont val="Arial"/>
        <family val="0"/>
        <charset val="1"/>
      </rPr>
      <t xml:space="preserve">130</t>
    </r>
    <r>
      <rPr>
        <sz val="10"/>
        <rFont val="WenQuanYi Zen Hei"/>
        <family val="2"/>
      </rPr>
      <t xml:space="preserve">～</t>
    </r>
    <r>
      <rPr>
        <sz val="10"/>
        <rFont val="Arial"/>
        <family val="0"/>
        <charset val="1"/>
      </rPr>
      <t xml:space="preserve">150%</t>
    </r>
  </si>
  <si>
    <r>
      <rPr>
        <sz val="10"/>
        <rFont val="Arial"/>
        <family val="0"/>
        <charset val="1"/>
      </rPr>
      <t xml:space="preserve">150</t>
    </r>
    <r>
      <rPr>
        <sz val="10"/>
        <rFont val="WenQuanYi Zen Hei"/>
        <family val="2"/>
      </rPr>
      <t xml:space="preserve">～</t>
    </r>
    <r>
      <rPr>
        <sz val="10"/>
        <rFont val="Arial"/>
        <family val="0"/>
        <charset val="1"/>
      </rPr>
      <t xml:space="preserve">180%</t>
    </r>
  </si>
  <si>
    <r>
      <rPr>
        <sz val="10"/>
        <rFont val="Arial"/>
        <family val="0"/>
        <charset val="1"/>
      </rPr>
      <t xml:space="preserve">180%</t>
    </r>
    <r>
      <rPr>
        <sz val="10"/>
        <rFont val="WenQuanYi Zen Hei"/>
        <family val="2"/>
      </rPr>
      <t xml:space="preserve">以上</t>
    </r>
  </si>
  <si>
    <t xml:space="preserve">統計值</t>
  </si>
  <si>
    <r>
      <rPr>
        <sz val="10"/>
        <rFont val="WenQuanYi Zen Hei"/>
        <family val="2"/>
      </rPr>
      <t xml:space="preserve">達標分行數（≥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</si>
  <si>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未達標分行數（</t>
    </r>
    <r>
      <rPr>
        <sz val="10"/>
        <rFont val="Arial"/>
        <family val="0"/>
        <charset val="1"/>
      </rPr>
      <t xml:space="preserve">&lt;100%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</si>
  <si>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未達</t>
    </r>
    <r>
      <rPr>
        <sz val="10"/>
        <rFont val="Arial"/>
        <family val="0"/>
        <charset val="1"/>
      </rPr>
      <t xml:space="preserve">75%</t>
    </r>
    <r>
      <rPr>
        <sz val="10"/>
        <rFont val="WenQuanYi Zen Hei"/>
        <family val="2"/>
      </rPr>
      <t xml:space="preserve">分行數</t>
    </r>
  </si>
  <si>
    <t xml:space="preserve">達成率中位數</t>
  </si>
  <si>
    <t xml:space="preserve">達成率簡單平均</t>
  </si>
  <si>
    <r>
      <rPr>
        <sz val="10"/>
        <rFont val="WenQuanYi Zen Hei"/>
        <family val="2"/>
      </rPr>
      <t xml:space="preserve">達成率加權平均（全行實績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目標）</t>
    </r>
  </si>
  <si>
    <t xml:space="preserve">最低達成率</t>
  </si>
  <si>
    <t xml:space="preserve">最高達成率</t>
  </si>
  <si>
    <t xml:space="preserve">115TYPE</t>
  </si>
  <si>
    <r>
      <rPr>
        <b val="true"/>
        <sz val="10"/>
        <color rgb="FFFFFFFF"/>
        <rFont val="Arial"/>
        <family val="0"/>
        <charset val="1"/>
      </rPr>
      <t xml:space="preserve">115</t>
    </r>
    <r>
      <rPr>
        <b val="true"/>
        <sz val="10"/>
        <color rgb="FFFFFFFF"/>
        <rFont val="WenQuanYi Zen Hei"/>
        <family val="2"/>
      </rPr>
      <t xml:space="preserve">年達成率級距</t>
    </r>
  </si>
  <si>
    <t xml:space="preserve">達成率</t>
  </si>
  <si>
    <r>
      <rPr>
        <b val="true"/>
        <sz val="10"/>
        <color rgb="FFFFFFFF"/>
        <rFont val="WenQuanYi Zen Hei"/>
        <family val="2"/>
      </rPr>
      <t xml:space="preserve">超額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缺口</t>
    </r>
  </si>
  <si>
    <r>
      <rPr>
        <sz val="10"/>
        <rFont val="Arial"/>
        <family val="0"/>
        <charset val="1"/>
      </rPr>
      <t xml:space="preserve">150%</t>
    </r>
    <r>
      <rPr>
        <sz val="10"/>
        <rFont val="WenQuanYi Zen Hei"/>
        <family val="2"/>
      </rPr>
      <t xml:space="preserve">以上，未達</t>
    </r>
    <r>
      <rPr>
        <sz val="10"/>
        <rFont val="Arial"/>
        <family val="0"/>
        <charset val="1"/>
      </rPr>
      <t xml:space="preserve">180%</t>
    </r>
  </si>
  <si>
    <r>
      <rPr>
        <sz val="10"/>
        <rFont val="Arial"/>
        <family val="0"/>
        <charset val="1"/>
      </rPr>
      <t xml:space="preserve">120%</t>
    </r>
    <r>
      <rPr>
        <sz val="10"/>
        <rFont val="WenQuanYi Zen Hei"/>
        <family val="2"/>
      </rPr>
      <t xml:space="preserve">以上，未達</t>
    </r>
    <r>
      <rPr>
        <sz val="10"/>
        <rFont val="Arial"/>
        <family val="0"/>
        <charset val="1"/>
      </rPr>
      <t xml:space="preserve">150%</t>
    </r>
  </si>
  <si>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以上，未達</t>
    </r>
    <r>
      <rPr>
        <sz val="10"/>
        <rFont val="Arial"/>
        <family val="0"/>
        <charset val="1"/>
      </rPr>
      <t xml:space="preserve">120%</t>
    </r>
  </si>
  <si>
    <r>
      <rPr>
        <sz val="10"/>
        <rFont val="Arial"/>
        <family val="0"/>
        <charset val="1"/>
      </rPr>
      <t xml:space="preserve">75%</t>
    </r>
    <r>
      <rPr>
        <sz val="10"/>
        <rFont val="WenQuanYi Zen Hei"/>
        <family val="2"/>
      </rPr>
      <t xml:space="preserve">以上，未達</t>
    </r>
    <r>
      <rPr>
        <sz val="10"/>
        <rFont val="Arial"/>
        <family val="0"/>
        <charset val="1"/>
      </rPr>
      <t xml:space="preserve">100%</t>
    </r>
  </si>
  <si>
    <r>
      <rPr>
        <sz val="10"/>
        <rFont val="WenQuanYi Zen Hei"/>
        <family val="2"/>
      </rPr>
      <t xml:space="preserve">未達</t>
    </r>
    <r>
      <rPr>
        <sz val="10"/>
        <rFont val="Arial"/>
        <family val="0"/>
        <charset val="1"/>
      </rPr>
      <t xml:space="preserve">75%</t>
    </r>
  </si>
  <si>
    <r>
      <rPr>
        <b val="true"/>
        <sz val="11"/>
        <rFont val="WenQuanYi Zen Hei"/>
        <family val="2"/>
      </rPr>
      <t xml:space="preserve">依</t>
    </r>
    <r>
      <rPr>
        <b val="true"/>
        <sz val="11"/>
        <rFont val="Arial"/>
        <family val="0"/>
        <charset val="1"/>
      </rPr>
      <t xml:space="preserve">114</t>
    </r>
    <r>
      <rPr>
        <b val="true"/>
        <sz val="11"/>
        <rFont val="WenQuanYi Zen Hei"/>
        <family val="2"/>
      </rPr>
      <t xml:space="preserve">年達成率級距（</t>
    </r>
    <r>
      <rPr>
        <b val="true"/>
        <sz val="11"/>
        <rFont val="Arial"/>
        <family val="0"/>
        <charset val="1"/>
      </rPr>
      <t xml:space="preserve">114TYPE</t>
    </r>
    <r>
      <rPr>
        <b val="true"/>
        <sz val="11"/>
        <rFont val="WenQuanYi Zen Hei"/>
        <family val="2"/>
      </rPr>
      <t xml:space="preserve">）彙總 </t>
    </r>
    <r>
      <rPr>
        <b val="true"/>
        <sz val="11"/>
        <rFont val="Arial"/>
        <family val="0"/>
        <charset val="1"/>
      </rPr>
      <t xml:space="preserve">115 </t>
    </r>
    <r>
      <rPr>
        <b val="true"/>
        <sz val="11"/>
        <rFont val="WenQuanYi Zen Hei"/>
        <family val="2"/>
      </rPr>
      <t xml:space="preserve">年目標與實績（簡報第</t>
    </r>
    <r>
      <rPr>
        <b val="true"/>
        <sz val="11"/>
        <rFont val="Arial"/>
        <family val="0"/>
        <charset val="1"/>
      </rPr>
      <t xml:space="preserve">9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Arial"/>
        <family val="0"/>
        <charset val="1"/>
      </rPr>
      <t xml:space="preserve">12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Arial"/>
        <family val="0"/>
        <charset val="1"/>
      </rPr>
      <t xml:space="preserve">13</t>
    </r>
    <r>
      <rPr>
        <b val="true"/>
        <sz val="11"/>
        <rFont val="WenQuanYi Zen Hei"/>
        <family val="2"/>
      </rPr>
      <t xml:space="preserve">頁數據）</t>
    </r>
  </si>
  <si>
    <r>
      <rPr>
        <sz val="9"/>
        <color rgb="FF7F7F7F"/>
        <rFont val="WenQuanYi Zen Hei"/>
        <family val="2"/>
      </rPr>
      <t xml:space="preserve">全部為公式（</t>
    </r>
    <r>
      <rPr>
        <sz val="9"/>
        <color rgb="FF7F7F7F"/>
        <rFont val="Arial"/>
        <family val="0"/>
        <charset val="1"/>
      </rPr>
      <t xml:space="preserve">COUNTIFS</t>
    </r>
    <r>
      <rPr>
        <sz val="9"/>
        <color rgb="FF7F7F7F"/>
        <rFont val="WenQuanYi Zen Hei"/>
        <family val="2"/>
      </rPr>
      <t xml:space="preserve">／</t>
    </r>
    <r>
      <rPr>
        <sz val="9"/>
        <color rgb="FF7F7F7F"/>
        <rFont val="Arial"/>
        <family val="0"/>
        <charset val="1"/>
      </rPr>
      <t xml:space="preserve">SUMIFS </t>
    </r>
    <r>
      <rPr>
        <sz val="9"/>
        <color rgb="FF7F7F7F"/>
        <rFont val="WenQuanYi Zen Hei"/>
        <family val="2"/>
      </rPr>
      <t xml:space="preserve">引用「分行明細」）。</t>
    </r>
  </si>
  <si>
    <t xml:space="preserve">114TYPE</t>
  </si>
  <si>
    <r>
      <rPr>
        <b val="true"/>
        <sz val="10"/>
        <color rgb="FFFFFFFF"/>
        <rFont val="Arial"/>
        <family val="0"/>
        <charset val="1"/>
      </rPr>
      <t xml:space="preserve">114</t>
    </r>
    <r>
      <rPr>
        <b val="true"/>
        <sz val="10"/>
        <color rgb="FFFFFFFF"/>
        <rFont val="WenQuanYi Zen Hei"/>
        <family val="2"/>
      </rPr>
      <t xml:space="preserve">年達成率級距</t>
    </r>
  </si>
  <si>
    <r>
      <rPr>
        <b val="true"/>
        <sz val="10"/>
        <color rgb="FFFFFFFF"/>
        <rFont val="Arial"/>
        <family val="0"/>
        <charset val="1"/>
      </rPr>
      <t xml:space="preserve">115</t>
    </r>
    <r>
      <rPr>
        <b val="true"/>
        <sz val="10"/>
        <color rgb="FFFFFFFF"/>
        <rFont val="WenQuanYi Zen Hei"/>
        <family val="2"/>
      </rPr>
      <t xml:space="preserve">年成長目標規則</t>
    </r>
  </si>
  <si>
    <r>
      <rPr>
        <b val="true"/>
        <sz val="10"/>
        <color rgb="FFFFFFFF"/>
        <rFont val="Arial"/>
        <family val="0"/>
        <charset val="1"/>
      </rPr>
      <t xml:space="preserve">115</t>
    </r>
    <r>
      <rPr>
        <b val="true"/>
        <sz val="10"/>
        <color rgb="FFFFFFFF"/>
        <rFont val="WenQuanYi Zen Hei"/>
        <family val="2"/>
      </rPr>
      <t xml:space="preserve">年達成率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群合計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</si>
  <si>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超額合計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超額分行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</si>
  <si>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缺口合計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未達成分行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</si>
  <si>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超額分行家數</t>
  </si>
  <si>
    <t xml:space="preserve">未達成分行家數</t>
  </si>
  <si>
    <r>
      <rPr>
        <b val="true"/>
        <sz val="10"/>
        <color rgb="FFFFFFFF"/>
        <rFont val="Arial"/>
        <family val="0"/>
        <charset val="1"/>
      </rPr>
      <t xml:space="preserve">115</t>
    </r>
    <r>
      <rPr>
        <b val="true"/>
        <sz val="10"/>
        <color rgb="FFFFFFFF"/>
        <rFont val="WenQuanYi Zen Hei"/>
        <family val="2"/>
      </rPr>
      <t xml:space="preserve">年未達</t>
    </r>
    <r>
      <rPr>
        <b val="true"/>
        <sz val="10"/>
        <color rgb="FFFFFFFF"/>
        <rFont val="Arial"/>
        <family val="0"/>
        <charset val="1"/>
      </rPr>
      <t xml:space="preserve">100%
</t>
    </r>
    <r>
      <rPr>
        <b val="true"/>
        <sz val="10"/>
        <color rgb="FFFFFFFF"/>
        <rFont val="WenQuanYi Zen Hei"/>
        <family val="2"/>
      </rPr>
      <t xml:space="preserve">家數 </t>
    </r>
    <r>
      <rPr>
        <b val="true"/>
        <sz val="10"/>
        <color rgb="FFFFFFFF"/>
        <rFont val="Arial"/>
        <family val="0"/>
        <charset val="1"/>
      </rPr>
      <t xml:space="preserve">(TYPE_5+6)</t>
    </r>
  </si>
  <si>
    <r>
      <rPr>
        <b val="true"/>
        <sz val="10"/>
        <color rgb="FFFFFFFF"/>
        <rFont val="Arial"/>
        <family val="0"/>
        <charset val="1"/>
      </rPr>
      <t xml:space="preserve">115</t>
    </r>
    <r>
      <rPr>
        <b val="true"/>
        <sz val="10"/>
        <color rgb="FFFFFFFF"/>
        <rFont val="WenQuanYi Zen Hei"/>
        <family val="2"/>
      </rPr>
      <t xml:space="preserve">年未達</t>
    </r>
    <r>
      <rPr>
        <b val="true"/>
        <sz val="10"/>
        <color rgb="FFFFFFFF"/>
        <rFont val="Arial"/>
        <family val="0"/>
        <charset val="1"/>
      </rPr>
      <t xml:space="preserve">75%
</t>
    </r>
    <r>
      <rPr>
        <b val="true"/>
        <sz val="10"/>
        <color rgb="FFFFFFFF"/>
        <rFont val="WenQuanYi Zen Hei"/>
        <family val="2"/>
      </rPr>
      <t xml:space="preserve">家數 </t>
    </r>
    <r>
      <rPr>
        <b val="true"/>
        <sz val="10"/>
        <color rgb="FFFFFFFF"/>
        <rFont val="Arial"/>
        <family val="0"/>
        <charset val="1"/>
      </rPr>
      <t xml:space="preserve">(TYPE_6)</t>
    </r>
  </si>
  <si>
    <r>
      <rPr>
        <b val="true"/>
        <sz val="10"/>
        <color rgb="FFFFFFFF"/>
        <rFont val="WenQuanYi Zen Hei"/>
        <family val="2"/>
      </rPr>
      <t xml:space="preserve">未達</t>
    </r>
    <r>
      <rPr>
        <b val="true"/>
        <sz val="10"/>
        <color rgb="FFFFFFFF"/>
        <rFont val="Arial"/>
        <family val="0"/>
        <charset val="1"/>
      </rPr>
      <t xml:space="preserve">75%</t>
    </r>
    <r>
      <rPr>
        <b val="true"/>
        <sz val="10"/>
        <color rgb="FFFFFFFF"/>
        <rFont val="WenQuanYi Zen Hei"/>
        <family val="2"/>
      </rPr>
      <t xml:space="preserve">比例</t>
    </r>
  </si>
  <si>
    <r>
      <rPr>
        <sz val="10"/>
        <rFont val="Arial"/>
        <family val="0"/>
        <charset val="1"/>
      </rPr>
      <t xml:space="preserve">200%</t>
    </r>
    <r>
      <rPr>
        <sz val="10"/>
        <rFont val="WenQuanYi Zen Hei"/>
        <family val="2"/>
      </rPr>
      <t xml:space="preserve">以上</t>
    </r>
  </si>
  <si>
    <r>
      <rPr>
        <sz val="10"/>
        <rFont val="WenQuanYi Zen Hei"/>
        <family val="2"/>
      </rPr>
      <t xml:space="preserve">預估實績</t>
    </r>
    <r>
      <rPr>
        <sz val="10"/>
        <rFont val="Arial"/>
        <family val="0"/>
        <charset val="1"/>
      </rPr>
      <t xml:space="preserve">×70%</t>
    </r>
  </si>
  <si>
    <r>
      <rPr>
        <sz val="10"/>
        <rFont val="Arial"/>
        <family val="0"/>
        <charset val="1"/>
      </rPr>
      <t xml:space="preserve">150%</t>
    </r>
    <r>
      <rPr>
        <sz val="10"/>
        <rFont val="WenQuanYi Zen Hei"/>
        <family val="2"/>
      </rPr>
      <t xml:space="preserve">以上，未達</t>
    </r>
    <r>
      <rPr>
        <sz val="10"/>
        <rFont val="Arial"/>
        <family val="0"/>
        <charset val="1"/>
      </rPr>
      <t xml:space="preserve">200%</t>
    </r>
  </si>
  <si>
    <r>
      <rPr>
        <sz val="10"/>
        <rFont val="WenQuanYi Zen Hei"/>
        <family val="2"/>
      </rPr>
      <t xml:space="preserve">預估實績</t>
    </r>
    <r>
      <rPr>
        <sz val="10"/>
        <rFont val="Arial"/>
        <family val="0"/>
        <charset val="1"/>
      </rPr>
      <t xml:space="preserve">×80%</t>
    </r>
  </si>
  <si>
    <r>
      <rPr>
        <sz val="10"/>
        <rFont val="Arial"/>
        <family val="0"/>
        <charset val="1"/>
      </rPr>
      <t xml:space="preserve">130%</t>
    </r>
    <r>
      <rPr>
        <sz val="10"/>
        <rFont val="WenQuanYi Zen Hei"/>
        <family val="2"/>
      </rPr>
      <t xml:space="preserve">以上，未達</t>
    </r>
    <r>
      <rPr>
        <sz val="10"/>
        <rFont val="Arial"/>
        <family val="0"/>
        <charset val="1"/>
      </rPr>
      <t xml:space="preserve">150%</t>
    </r>
  </si>
  <si>
    <r>
      <rPr>
        <sz val="10"/>
        <rFont val="WenQuanYi Zen Hei"/>
        <family val="2"/>
      </rPr>
      <t xml:space="preserve">預估實績</t>
    </r>
    <r>
      <rPr>
        <sz val="10"/>
        <rFont val="Arial"/>
        <family val="0"/>
        <charset val="1"/>
      </rPr>
      <t xml:space="preserve">×90%</t>
    </r>
  </si>
  <si>
    <r>
      <rPr>
        <sz val="10"/>
        <rFont val="Arial"/>
        <family val="0"/>
        <charset val="1"/>
      </rPr>
      <t xml:space="preserve">120%</t>
    </r>
    <r>
      <rPr>
        <sz val="10"/>
        <rFont val="WenQuanYi Zen Hei"/>
        <family val="2"/>
      </rPr>
      <t xml:space="preserve">以上，未達</t>
    </r>
    <r>
      <rPr>
        <sz val="10"/>
        <rFont val="Arial"/>
        <family val="0"/>
        <charset val="1"/>
      </rPr>
      <t xml:space="preserve">130%</t>
    </r>
  </si>
  <si>
    <r>
      <rPr>
        <sz val="10"/>
        <rFont val="WenQuanYi Zen Hei"/>
        <family val="2"/>
      </rPr>
      <t xml:space="preserve">預估實績</t>
    </r>
    <r>
      <rPr>
        <sz val="10"/>
        <rFont val="Arial"/>
        <family val="0"/>
        <charset val="1"/>
      </rPr>
      <t xml:space="preserve">×101%</t>
    </r>
  </si>
  <si>
    <r>
      <rPr>
        <sz val="10"/>
        <rFont val="Arial"/>
        <family val="0"/>
        <charset val="1"/>
      </rPr>
      <t xml:space="preserve">110%</t>
    </r>
    <r>
      <rPr>
        <sz val="10"/>
        <rFont val="WenQuanYi Zen Hei"/>
        <family val="2"/>
      </rPr>
      <t xml:space="preserve">以上，未達</t>
    </r>
    <r>
      <rPr>
        <sz val="10"/>
        <rFont val="Arial"/>
        <family val="0"/>
        <charset val="1"/>
      </rPr>
      <t xml:space="preserve">120%</t>
    </r>
  </si>
  <si>
    <r>
      <rPr>
        <sz val="10"/>
        <rFont val="WenQuanYi Zen Hei"/>
        <family val="2"/>
      </rPr>
      <t xml:space="preserve">預估實績</t>
    </r>
    <r>
      <rPr>
        <sz val="10"/>
        <rFont val="Arial"/>
        <family val="0"/>
        <charset val="1"/>
      </rPr>
      <t xml:space="preserve">×103%</t>
    </r>
  </si>
  <si>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以上，未達</t>
    </r>
    <r>
      <rPr>
        <sz val="10"/>
        <rFont val="Arial"/>
        <family val="0"/>
        <charset val="1"/>
      </rPr>
      <t xml:space="preserve">110%</t>
    </r>
  </si>
  <si>
    <r>
      <rPr>
        <sz val="10"/>
        <rFont val="WenQuanYi Zen Hei"/>
        <family val="2"/>
      </rPr>
      <t xml:space="preserve">預估實績</t>
    </r>
    <r>
      <rPr>
        <sz val="10"/>
        <rFont val="Arial"/>
        <family val="0"/>
        <charset val="1"/>
      </rPr>
      <t xml:space="preserve">×105%</t>
    </r>
  </si>
  <si>
    <r>
      <rPr>
        <sz val="10"/>
        <rFont val="Arial"/>
        <family val="0"/>
        <charset val="1"/>
      </rPr>
      <t xml:space="preserve">90%</t>
    </r>
    <r>
      <rPr>
        <sz val="10"/>
        <rFont val="WenQuanYi Zen Hei"/>
        <family val="2"/>
      </rPr>
      <t xml:space="preserve">以上，未達</t>
    </r>
    <r>
      <rPr>
        <sz val="10"/>
        <rFont val="Arial"/>
        <family val="0"/>
        <charset val="1"/>
      </rPr>
      <t xml:space="preserve">100%</t>
    </r>
  </si>
  <si>
    <r>
      <rPr>
        <sz val="10"/>
        <rFont val="WenQuanYi Zen Hei"/>
        <family val="2"/>
      </rPr>
      <t xml:space="preserve">分行目標</t>
    </r>
    <r>
      <rPr>
        <sz val="10"/>
        <rFont val="Arial"/>
        <family val="0"/>
        <charset val="1"/>
      </rPr>
      <t xml:space="preserve">×105%</t>
    </r>
  </si>
  <si>
    <r>
      <rPr>
        <sz val="10"/>
        <rFont val="Arial"/>
        <family val="0"/>
        <charset val="1"/>
      </rPr>
      <t xml:space="preserve">75%</t>
    </r>
    <r>
      <rPr>
        <sz val="10"/>
        <rFont val="WenQuanYi Zen Hei"/>
        <family val="2"/>
      </rPr>
      <t xml:space="preserve">以上，未達</t>
    </r>
    <r>
      <rPr>
        <sz val="10"/>
        <rFont val="Arial"/>
        <family val="0"/>
        <charset val="1"/>
      </rPr>
      <t xml:space="preserve">90%</t>
    </r>
  </si>
  <si>
    <r>
      <rPr>
        <sz val="10"/>
        <rFont val="WenQuanYi Zen Hei"/>
        <family val="2"/>
      </rPr>
      <t xml:space="preserve">分行目標</t>
    </r>
    <r>
      <rPr>
        <sz val="10"/>
        <rFont val="Arial"/>
        <family val="0"/>
        <charset val="1"/>
      </rPr>
      <t xml:space="preserve">×110%</t>
    </r>
  </si>
  <si>
    <r>
      <rPr>
        <sz val="10"/>
        <rFont val="WenQuanYi Zen Hei"/>
        <family val="2"/>
      </rPr>
      <t xml:space="preserve">分行目標</t>
    </r>
    <r>
      <rPr>
        <sz val="10"/>
        <rFont val="Arial"/>
        <family val="0"/>
        <charset val="1"/>
      </rPr>
      <t xml:space="preserve">×115%</t>
    </r>
  </si>
  <si>
    <r>
      <rPr>
        <b val="true"/>
        <sz val="10"/>
        <rFont val="WenQuanYi Zen Hei"/>
        <family val="2"/>
      </rPr>
      <t xml:space="preserve">達標群 </t>
    </r>
    <r>
      <rPr>
        <b val="true"/>
        <sz val="10"/>
        <rFont val="Arial"/>
        <family val="0"/>
        <charset val="1"/>
      </rPr>
      <t xml:space="preserve">(TYPE_1</t>
    </r>
    <r>
      <rPr>
        <b val="true"/>
        <sz val="10"/>
        <rFont val="WenQuanYi Zen Hei"/>
        <family val="2"/>
      </rPr>
      <t xml:space="preserve">～</t>
    </r>
    <r>
      <rPr>
        <b val="true"/>
        <sz val="10"/>
        <rFont val="Arial"/>
        <family val="0"/>
        <charset val="1"/>
      </rPr>
      <t xml:space="preserve">6)</t>
    </r>
  </si>
  <si>
    <r>
      <rPr>
        <b val="true"/>
        <sz val="10"/>
        <rFont val="WenQuanYi Zen Hei"/>
        <family val="2"/>
      </rPr>
      <t xml:space="preserve">未達標群 </t>
    </r>
    <r>
      <rPr>
        <b val="true"/>
        <sz val="10"/>
        <rFont val="Arial"/>
        <family val="0"/>
        <charset val="1"/>
      </rPr>
      <t xml:space="preserve">(TYPE_7</t>
    </r>
    <r>
      <rPr>
        <b val="true"/>
        <sz val="10"/>
        <rFont val="WenQuanYi Zen Hei"/>
        <family val="2"/>
      </rPr>
      <t xml:space="preserve">～</t>
    </r>
    <r>
      <rPr>
        <b val="true"/>
        <sz val="10"/>
        <rFont val="Arial"/>
        <family val="0"/>
        <charset val="1"/>
      </rPr>
      <t xml:space="preserve">9)</t>
    </r>
  </si>
  <si>
    <t xml:space="preserve">全行合計</t>
  </si>
  <si>
    <r>
      <rPr>
        <b val="true"/>
        <sz val="11"/>
        <rFont val="Arial"/>
        <family val="0"/>
        <charset val="1"/>
      </rPr>
      <t xml:space="preserve">114</t>
    </r>
    <r>
      <rPr>
        <b val="true"/>
        <sz val="11"/>
        <rFont val="WenQuanYi Zen Hei"/>
        <family val="2"/>
      </rPr>
      <t xml:space="preserve">年達成率級距 → </t>
    </r>
    <r>
      <rPr>
        <b val="true"/>
        <sz val="11"/>
        <rFont val="Arial"/>
        <family val="0"/>
        <charset val="1"/>
      </rPr>
      <t xml:space="preserve">115</t>
    </r>
    <r>
      <rPr>
        <b val="true"/>
        <sz val="11"/>
        <rFont val="WenQuanYi Zen Hei"/>
        <family val="2"/>
      </rPr>
      <t xml:space="preserve">年達成率級距 分行家數流向矩陣（簡報第</t>
    </r>
    <r>
      <rPr>
        <b val="true"/>
        <sz val="11"/>
        <rFont val="Arial"/>
        <family val="0"/>
        <charset val="1"/>
      </rPr>
      <t xml:space="preserve">11</t>
    </r>
    <r>
      <rPr>
        <b val="true"/>
        <sz val="11"/>
        <rFont val="WenQuanYi Zen Hei"/>
        <family val="2"/>
      </rPr>
      <t xml:space="preserve">頁；對應原檔 </t>
    </r>
    <r>
      <rPr>
        <b val="true"/>
        <sz val="11"/>
        <rFont val="Arial"/>
        <family val="0"/>
        <charset val="1"/>
      </rPr>
      <t xml:space="preserve">COMPARE114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</si>
  <si>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115</t>
    </r>
    <r>
      <rPr>
        <b val="true"/>
        <sz val="10"/>
        <rFont val="WenQuanYi Zen Hei"/>
        <family val="2"/>
      </rPr>
      <t xml:space="preserve">年年化達成率級距 →</t>
    </r>
  </si>
  <si>
    <r>
      <rPr>
        <b val="true"/>
        <sz val="10"/>
        <color rgb="FFFFFFFF"/>
        <rFont val="Arial"/>
        <family val="0"/>
        <charset val="1"/>
      </rPr>
      <t xml:space="preserve">115</t>
    </r>
    <r>
      <rPr>
        <b val="true"/>
        <sz val="10"/>
        <color rgb="FFFFFFFF"/>
        <rFont val="WenQuanYi Zen Hei"/>
        <family val="2"/>
      </rPr>
      <t xml:space="preserve">年規則</t>
    </r>
  </si>
  <si>
    <r>
      <rPr>
        <b val="true"/>
        <sz val="10"/>
        <color rgb="FFFFFFFF"/>
        <rFont val="Arial"/>
        <family val="0"/>
        <charset val="1"/>
      </rPr>
      <t xml:space="preserve">TYPE_1
180%</t>
    </r>
    <r>
      <rPr>
        <b val="true"/>
        <sz val="10"/>
        <color rgb="FFFFFFFF"/>
        <rFont val="WenQuanYi Zen Hei"/>
        <family val="2"/>
      </rPr>
      <t xml:space="preserve">以上</t>
    </r>
  </si>
  <si>
    <r>
      <rPr>
        <b val="true"/>
        <sz val="10"/>
        <color rgb="FFFFFFFF"/>
        <rFont val="Arial"/>
        <family val="0"/>
        <charset val="1"/>
      </rPr>
      <t xml:space="preserve">TYPE_2
150%</t>
    </r>
    <r>
      <rPr>
        <b val="true"/>
        <sz val="10"/>
        <color rgb="FFFFFFFF"/>
        <rFont val="WenQuanYi Zen Hei"/>
        <family val="2"/>
      </rPr>
      <t xml:space="preserve">以上，未達</t>
    </r>
    <r>
      <rPr>
        <b val="true"/>
        <sz val="10"/>
        <color rgb="FFFFFFFF"/>
        <rFont val="Arial"/>
        <family val="0"/>
        <charset val="1"/>
      </rPr>
      <t xml:space="preserve">180%</t>
    </r>
  </si>
  <si>
    <r>
      <rPr>
        <b val="true"/>
        <sz val="10"/>
        <color rgb="FFFFFFFF"/>
        <rFont val="Arial"/>
        <family val="0"/>
        <charset val="1"/>
      </rPr>
      <t xml:space="preserve">TYPE_3
120%</t>
    </r>
    <r>
      <rPr>
        <b val="true"/>
        <sz val="10"/>
        <color rgb="FFFFFFFF"/>
        <rFont val="WenQuanYi Zen Hei"/>
        <family val="2"/>
      </rPr>
      <t xml:space="preserve">以上，未達</t>
    </r>
    <r>
      <rPr>
        <b val="true"/>
        <sz val="10"/>
        <color rgb="FFFFFFFF"/>
        <rFont val="Arial"/>
        <family val="0"/>
        <charset val="1"/>
      </rPr>
      <t xml:space="preserve">150%</t>
    </r>
  </si>
  <si>
    <r>
      <rPr>
        <b val="true"/>
        <sz val="10"/>
        <color rgb="FFFFFFFF"/>
        <rFont val="Arial"/>
        <family val="0"/>
        <charset val="1"/>
      </rPr>
      <t xml:space="preserve">TYPE_4
100%</t>
    </r>
    <r>
      <rPr>
        <b val="true"/>
        <sz val="10"/>
        <color rgb="FFFFFFFF"/>
        <rFont val="WenQuanYi Zen Hei"/>
        <family val="2"/>
      </rPr>
      <t xml:space="preserve">以上，未達</t>
    </r>
    <r>
      <rPr>
        <b val="true"/>
        <sz val="10"/>
        <color rgb="FFFFFFFF"/>
        <rFont val="Arial"/>
        <family val="0"/>
        <charset val="1"/>
      </rPr>
      <t xml:space="preserve">120%</t>
    </r>
  </si>
  <si>
    <r>
      <rPr>
        <b val="true"/>
        <sz val="10"/>
        <color rgb="FFFFFFFF"/>
        <rFont val="Arial"/>
        <family val="0"/>
        <charset val="1"/>
      </rPr>
      <t xml:space="preserve">TYPE_5
75%</t>
    </r>
    <r>
      <rPr>
        <b val="true"/>
        <sz val="10"/>
        <color rgb="FFFFFFFF"/>
        <rFont val="WenQuanYi Zen Hei"/>
        <family val="2"/>
      </rPr>
      <t xml:space="preserve">以上，未達</t>
    </r>
    <r>
      <rPr>
        <b val="true"/>
        <sz val="10"/>
        <color rgb="FFFFFFFF"/>
        <rFont val="Arial"/>
        <family val="0"/>
        <charset val="1"/>
      </rPr>
      <t xml:space="preserve">100%</t>
    </r>
  </si>
  <si>
    <r>
      <rPr>
        <b val="true"/>
        <sz val="10"/>
        <color rgb="FFFFFFFF"/>
        <rFont val="Arial"/>
        <family val="0"/>
        <charset val="1"/>
      </rPr>
      <t xml:space="preserve">TYPE_6
</t>
    </r>
    <r>
      <rPr>
        <b val="true"/>
        <sz val="10"/>
        <color rgb="FFFFFFFF"/>
        <rFont val="WenQuanYi Zen Hei"/>
        <family val="2"/>
      </rPr>
      <t xml:space="preserve">未達</t>
    </r>
    <r>
      <rPr>
        <b val="true"/>
        <sz val="10"/>
        <color rgb="FFFFFFFF"/>
        <rFont val="Arial"/>
        <family val="0"/>
        <charset val="1"/>
      </rPr>
      <t xml:space="preserve">75%</t>
    </r>
  </si>
  <si>
    <r>
      <rPr>
        <b val="true"/>
        <sz val="10"/>
        <color rgb="FFFFFFFF"/>
        <rFont val="Arial"/>
        <family val="0"/>
        <charset val="1"/>
      </rPr>
      <t xml:space="preserve">115</t>
    </r>
    <r>
      <rPr>
        <b val="true"/>
        <sz val="10"/>
        <color rgb="FFFFFFFF"/>
        <rFont val="WenQuanYi Zen Hei"/>
        <family val="2"/>
      </rPr>
      <t xml:space="preserve">年未達</t>
    </r>
    <r>
      <rPr>
        <b val="true"/>
        <sz val="10"/>
        <color rgb="FFFFFFFF"/>
        <rFont val="Arial"/>
        <family val="0"/>
        <charset val="1"/>
      </rPr>
      <t xml:space="preserve">100%
</t>
    </r>
    <r>
      <rPr>
        <b val="true"/>
        <sz val="10"/>
        <color rgb="FFFFFFFF"/>
        <rFont val="WenQuanYi Zen Hei"/>
        <family val="2"/>
      </rPr>
      <t xml:space="preserve">家數</t>
    </r>
  </si>
  <si>
    <r>
      <rPr>
        <b val="true"/>
        <sz val="10"/>
        <color rgb="FFFFFFFF"/>
        <rFont val="Arial"/>
        <family val="0"/>
        <charset val="1"/>
      </rPr>
      <t xml:space="preserve">115</t>
    </r>
    <r>
      <rPr>
        <b val="true"/>
        <sz val="10"/>
        <color rgb="FFFFFFFF"/>
        <rFont val="WenQuanYi Zen Hei"/>
        <family val="2"/>
      </rPr>
      <t xml:space="preserve">年未達</t>
    </r>
    <r>
      <rPr>
        <b val="true"/>
        <sz val="10"/>
        <color rgb="FFFFFFFF"/>
        <rFont val="Arial"/>
        <family val="0"/>
        <charset val="1"/>
      </rPr>
      <t xml:space="preserve">75%
</t>
    </r>
    <r>
      <rPr>
        <b val="true"/>
        <sz val="10"/>
        <color rgb="FFFFFFFF"/>
        <rFont val="WenQuanYi Zen Hei"/>
        <family val="2"/>
      </rPr>
      <t xml:space="preserve">家數</t>
    </r>
  </si>
  <si>
    <r>
      <rPr>
        <b val="true"/>
        <sz val="10"/>
        <color rgb="FFC00000"/>
        <rFont val="Arial"/>
        <family val="0"/>
        <charset val="1"/>
      </rPr>
      <t xml:space="preserve">90%</t>
    </r>
    <r>
      <rPr>
        <b val="true"/>
        <sz val="10"/>
        <color rgb="FFC00000"/>
        <rFont val="WenQuanYi Zen Hei"/>
        <family val="2"/>
      </rPr>
      <t xml:space="preserve">以上，未達</t>
    </r>
    <r>
      <rPr>
        <b val="true"/>
        <sz val="10"/>
        <color rgb="FFC00000"/>
        <rFont val="Arial"/>
        <family val="0"/>
        <charset val="1"/>
      </rPr>
      <t xml:space="preserve">100%</t>
    </r>
  </si>
  <si>
    <r>
      <rPr>
        <b val="true"/>
        <sz val="10"/>
        <color rgb="FFC00000"/>
        <rFont val="WenQuanYi Zen Hei"/>
        <family val="2"/>
      </rPr>
      <t xml:space="preserve">分行目標</t>
    </r>
    <r>
      <rPr>
        <b val="true"/>
        <sz val="10"/>
        <color rgb="FFC00000"/>
        <rFont val="Arial"/>
        <family val="0"/>
        <charset val="1"/>
      </rPr>
      <t xml:space="preserve">×105%</t>
    </r>
  </si>
  <si>
    <r>
      <rPr>
        <b val="true"/>
        <sz val="10"/>
        <color rgb="FFC00000"/>
        <rFont val="Arial"/>
        <family val="0"/>
        <charset val="1"/>
      </rPr>
      <t xml:space="preserve">75%</t>
    </r>
    <r>
      <rPr>
        <b val="true"/>
        <sz val="10"/>
        <color rgb="FFC00000"/>
        <rFont val="WenQuanYi Zen Hei"/>
        <family val="2"/>
      </rPr>
      <t xml:space="preserve">以上，未達</t>
    </r>
    <r>
      <rPr>
        <b val="true"/>
        <sz val="10"/>
        <color rgb="FFC00000"/>
        <rFont val="Arial"/>
        <family val="0"/>
        <charset val="1"/>
      </rPr>
      <t xml:space="preserve">90%</t>
    </r>
  </si>
  <si>
    <r>
      <rPr>
        <b val="true"/>
        <sz val="10"/>
        <color rgb="FFC00000"/>
        <rFont val="WenQuanYi Zen Hei"/>
        <family val="2"/>
      </rPr>
      <t xml:space="preserve">分行目標</t>
    </r>
    <r>
      <rPr>
        <b val="true"/>
        <sz val="10"/>
        <color rgb="FFC00000"/>
        <rFont val="Arial"/>
        <family val="0"/>
        <charset val="1"/>
      </rPr>
      <t xml:space="preserve">×110%</t>
    </r>
  </si>
  <si>
    <r>
      <rPr>
        <b val="true"/>
        <sz val="10"/>
        <color rgb="FFC00000"/>
        <rFont val="WenQuanYi Zen Hei"/>
        <family val="2"/>
      </rPr>
      <t xml:space="preserve">未達</t>
    </r>
    <r>
      <rPr>
        <b val="true"/>
        <sz val="10"/>
        <color rgb="FFC00000"/>
        <rFont val="Arial"/>
        <family val="0"/>
        <charset val="1"/>
      </rPr>
      <t xml:space="preserve">75%</t>
    </r>
  </si>
  <si>
    <r>
      <rPr>
        <b val="true"/>
        <sz val="10"/>
        <color rgb="FFC00000"/>
        <rFont val="WenQuanYi Zen Hei"/>
        <family val="2"/>
      </rPr>
      <t xml:space="preserve">分行目標</t>
    </r>
    <r>
      <rPr>
        <b val="true"/>
        <sz val="10"/>
        <color rgb="FFC00000"/>
        <rFont val="Arial"/>
        <family val="0"/>
        <charset val="1"/>
      </rPr>
      <t xml:space="preserve">×115%</t>
    </r>
  </si>
  <si>
    <r>
      <rPr>
        <sz val="9"/>
        <color rgb="FF7F7F7F"/>
        <rFont val="WenQuanYi Zen Hei"/>
        <family val="2"/>
      </rPr>
      <t xml:space="preserve">淺紅列＝</t>
    </r>
    <r>
      <rPr>
        <sz val="9"/>
        <color rgb="FF7F7F7F"/>
        <rFont val="Arial"/>
        <family val="0"/>
        <charset val="1"/>
      </rPr>
      <t xml:space="preserve">114</t>
    </r>
    <r>
      <rPr>
        <sz val="9"/>
        <color rgb="FF7F7F7F"/>
        <rFont val="WenQuanYi Zen Hei"/>
        <family val="2"/>
      </rPr>
      <t xml:space="preserve">年未達標、</t>
    </r>
    <r>
      <rPr>
        <sz val="9"/>
        <color rgb="FF7F7F7F"/>
        <rFont val="Arial"/>
        <family val="0"/>
        <charset val="1"/>
      </rPr>
      <t xml:space="preserve">115</t>
    </r>
    <r>
      <rPr>
        <sz val="9"/>
        <color rgb="FF7F7F7F"/>
        <rFont val="WenQuanYi Zen Hei"/>
        <family val="2"/>
      </rPr>
      <t xml:space="preserve">年以「分行目標」加成之分行；</t>
    </r>
    <r>
      <rPr>
        <sz val="9"/>
        <color rgb="FF7F7F7F"/>
        <rFont val="Arial"/>
        <family val="0"/>
        <charset val="1"/>
      </rPr>
      <t xml:space="preserve">I </t>
    </r>
    <r>
      <rPr>
        <sz val="9"/>
        <color rgb="FF7F7F7F"/>
        <rFont val="WenQuanYi Zen Hei"/>
        <family val="2"/>
      </rPr>
      <t xml:space="preserve">欄＝</t>
    </r>
    <r>
      <rPr>
        <sz val="9"/>
        <color rgb="FF7F7F7F"/>
        <rFont val="Arial"/>
        <family val="0"/>
        <charset val="1"/>
      </rPr>
      <t xml:space="preserve">115</t>
    </r>
    <r>
      <rPr>
        <sz val="9"/>
        <color rgb="FF7F7F7F"/>
        <rFont val="WenQuanYi Zen Hei"/>
        <family val="2"/>
      </rPr>
      <t xml:space="preserve">年未達</t>
    </r>
    <r>
      <rPr>
        <sz val="9"/>
        <color rgb="FF7F7F7F"/>
        <rFont val="Arial"/>
        <family val="0"/>
        <charset val="1"/>
      </rPr>
      <t xml:space="preserve">75%</t>
    </r>
    <r>
      <rPr>
        <sz val="9"/>
        <color rgb="FF7F7F7F"/>
        <rFont val="WenQuanYi Zen Hei"/>
        <family val="2"/>
      </rPr>
      <t xml:space="preserve">之分行，全部來自淺紅列。格色越深家數越多。</t>
    </r>
  </si>
  <si>
    <r>
      <rPr>
        <b val="true"/>
        <sz val="11"/>
        <rFont val="Arial"/>
        <family val="0"/>
        <charset val="1"/>
      </rPr>
      <t xml:space="preserve">115</t>
    </r>
    <r>
      <rPr>
        <b val="true"/>
        <sz val="11"/>
        <rFont val="WenQuanYi Zen Hei"/>
        <family val="2"/>
      </rPr>
      <t xml:space="preserve">年目標 → 實績 瀑布分解（簡報第</t>
    </r>
    <r>
      <rPr>
        <b val="true"/>
        <sz val="11"/>
        <rFont val="Arial"/>
        <family val="0"/>
        <charset val="1"/>
      </rPr>
      <t xml:space="preserve">13</t>
    </r>
    <r>
      <rPr>
        <b val="true"/>
        <sz val="11"/>
        <rFont val="WenQuanYi Zen Hei"/>
        <family val="2"/>
      </rPr>
      <t xml:space="preserve">頁）</t>
    </r>
  </si>
  <si>
    <t xml:space="preserve">項目</t>
  </si>
  <si>
    <t xml:space="preserve">金額（元）</t>
  </si>
  <si>
    <t xml:space="preserve">金額（億元）</t>
  </si>
  <si>
    <t xml:space="preserve">家數</t>
  </si>
  <si>
    <t xml:space="preserve">說明</t>
  </si>
  <si>
    <r>
      <rPr>
        <b val="true"/>
        <sz val="10"/>
        <rFont val="Arial"/>
        <family val="0"/>
        <charset val="1"/>
      </rPr>
      <t xml:space="preserve">115</t>
    </r>
    <r>
      <rPr>
        <b val="true"/>
        <sz val="10"/>
        <rFont val="WenQuanYi Zen Hei"/>
        <family val="2"/>
      </rPr>
      <t xml:space="preserve">年目標合計</t>
    </r>
  </si>
  <si>
    <r>
      <rPr>
        <b val="true"/>
        <sz val="10"/>
        <rFont val="WenQuanYi Zen Hei"/>
        <family val="2"/>
      </rPr>
      <t xml:space="preserve">全行</t>
    </r>
    <r>
      <rPr>
        <b val="true"/>
        <sz val="10"/>
        <rFont val="Arial"/>
        <family val="0"/>
        <charset val="1"/>
      </rPr>
      <t xml:space="preserve">183</t>
    </r>
    <r>
      <rPr>
        <b val="true"/>
        <sz val="10"/>
        <rFont val="WenQuanYi Zen Hei"/>
        <family val="2"/>
      </rPr>
      <t xml:space="preserve">家</t>
    </r>
  </si>
  <si>
    <t xml:space="preserve">＋ 超額分行超額合計</t>
  </si>
  <si>
    <t xml:space="preserve">實績≥目標之分行</t>
  </si>
  <si>
    <r>
      <rPr>
        <sz val="10"/>
        <rFont val="WenQuanYi Zen Hei"/>
        <family val="2"/>
      </rPr>
      <t xml:space="preserve">　其中：</t>
    </r>
    <r>
      <rPr>
        <sz val="10"/>
        <rFont val="Arial"/>
        <family val="0"/>
        <charset val="1"/>
      </rPr>
      <t xml:space="preserve">114</t>
    </r>
    <r>
      <rPr>
        <sz val="10"/>
        <rFont val="WenQuanYi Zen Hei"/>
        <family val="2"/>
      </rPr>
      <t xml:space="preserve">年達標群</t>
    </r>
  </si>
  <si>
    <r>
      <rPr>
        <sz val="10"/>
        <rFont val="Arial"/>
        <family val="0"/>
        <charset val="1"/>
      </rPr>
      <t xml:space="preserve">TYPE_1</t>
    </r>
    <r>
      <rPr>
        <sz val="10"/>
        <rFont val="WenQuanYi Zen Hei"/>
        <family val="2"/>
      </rPr>
      <t xml:space="preserve">～</t>
    </r>
    <r>
      <rPr>
        <sz val="10"/>
        <rFont val="Arial"/>
        <family val="0"/>
        <charset val="1"/>
      </rPr>
      <t xml:space="preserve">6</t>
    </r>
  </si>
  <si>
    <r>
      <rPr>
        <sz val="10"/>
        <rFont val="WenQuanYi Zen Hei"/>
        <family val="2"/>
      </rPr>
      <t xml:space="preserve">　其中：</t>
    </r>
    <r>
      <rPr>
        <sz val="10"/>
        <rFont val="Arial"/>
        <family val="0"/>
        <charset val="1"/>
      </rPr>
      <t xml:space="preserve">114</t>
    </r>
    <r>
      <rPr>
        <sz val="10"/>
        <rFont val="WenQuanYi Zen Hei"/>
        <family val="2"/>
      </rPr>
      <t xml:space="preserve">年未達標群</t>
    </r>
  </si>
  <si>
    <r>
      <rPr>
        <sz val="10"/>
        <rFont val="Arial"/>
        <family val="0"/>
        <charset val="1"/>
      </rPr>
      <t xml:space="preserve">TYPE_7</t>
    </r>
    <r>
      <rPr>
        <sz val="10"/>
        <rFont val="WenQuanYi Zen Hei"/>
        <family val="2"/>
      </rPr>
      <t xml:space="preserve">～</t>
    </r>
    <r>
      <rPr>
        <sz val="10"/>
        <rFont val="Arial"/>
        <family val="0"/>
        <charset val="1"/>
      </rPr>
      <t xml:space="preserve">9</t>
    </r>
  </si>
  <si>
    <t xml:space="preserve">－ 未達成分行缺口合計</t>
  </si>
  <si>
    <r>
      <rPr>
        <b val="true"/>
        <sz val="10"/>
        <rFont val="WenQuanYi Zen Hei"/>
        <family val="2"/>
      </rPr>
      <t xml:space="preserve">實績</t>
    </r>
    <r>
      <rPr>
        <b val="true"/>
        <sz val="10"/>
        <rFont val="Arial"/>
        <family val="0"/>
        <charset val="1"/>
      </rPr>
      <t xml:space="preserve">&lt;</t>
    </r>
    <r>
      <rPr>
        <b val="true"/>
        <sz val="10"/>
        <rFont val="WenQuanYi Zen Hei"/>
        <family val="2"/>
      </rPr>
      <t xml:space="preserve">目標之分行</t>
    </r>
  </si>
  <si>
    <r>
      <rPr>
        <sz val="10"/>
        <rFont val="WenQuanYi Zen Hei"/>
        <family val="2"/>
      </rPr>
      <t xml:space="preserve">　　其中 </t>
    </r>
    <r>
      <rPr>
        <sz val="10"/>
        <rFont val="Arial"/>
        <family val="0"/>
        <charset val="1"/>
      </rPr>
      <t xml:space="preserve">90%</t>
    </r>
    <r>
      <rPr>
        <sz val="10"/>
        <rFont val="WenQuanYi Zen Hei"/>
        <family val="2"/>
      </rPr>
      <t xml:space="preserve">～</t>
    </r>
    <r>
      <rPr>
        <sz val="10"/>
        <rFont val="Arial"/>
        <family val="0"/>
        <charset val="1"/>
      </rPr>
      <t xml:space="preserve">100%</t>
    </r>
  </si>
  <si>
    <r>
      <rPr>
        <sz val="10"/>
        <rFont val="WenQuanYi Zen Hei"/>
        <family val="2"/>
      </rPr>
      <t xml:space="preserve">　　其中 </t>
    </r>
    <r>
      <rPr>
        <sz val="10"/>
        <rFont val="Arial"/>
        <family val="0"/>
        <charset val="1"/>
      </rPr>
      <t xml:space="preserve">75%</t>
    </r>
    <r>
      <rPr>
        <sz val="10"/>
        <rFont val="WenQuanYi Zen Hei"/>
        <family val="2"/>
      </rPr>
      <t xml:space="preserve">～</t>
    </r>
    <r>
      <rPr>
        <sz val="10"/>
        <rFont val="Arial"/>
        <family val="0"/>
        <charset val="1"/>
      </rPr>
      <t xml:space="preserve">90%</t>
    </r>
  </si>
  <si>
    <r>
      <rPr>
        <sz val="10"/>
        <rFont val="WenQuanYi Zen Hei"/>
        <family val="2"/>
      </rPr>
      <t xml:space="preserve">　　其中 未達</t>
    </r>
    <r>
      <rPr>
        <sz val="10"/>
        <rFont val="Arial"/>
        <family val="0"/>
        <charset val="1"/>
      </rPr>
      <t xml:space="preserve">75%</t>
    </r>
  </si>
  <si>
    <r>
      <rPr>
        <b val="true"/>
        <sz val="10"/>
        <rFont val="WenQuanYi Zen Hei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115</t>
    </r>
    <r>
      <rPr>
        <b val="true"/>
        <sz val="10"/>
        <rFont val="WenQuanYi Zen Hei"/>
        <family val="2"/>
      </rPr>
      <t xml:space="preserve">年年化實績合計</t>
    </r>
  </si>
  <si>
    <r>
      <rPr>
        <b val="true"/>
        <sz val="10"/>
        <rFont val="WenQuanYi Zen Hei"/>
        <family val="2"/>
      </rPr>
      <t xml:space="preserve">檢核：應等於級距彙總 </t>
    </r>
    <r>
      <rPr>
        <b val="true"/>
        <sz val="10"/>
        <rFont val="Arial"/>
        <family val="0"/>
        <charset val="1"/>
      </rPr>
      <t xml:space="preserve">G16</t>
    </r>
  </si>
  <si>
    <r>
      <rPr>
        <sz val="10"/>
        <rFont val="Arial"/>
        <family val="0"/>
        <charset val="1"/>
      </rPr>
      <t xml:space="preserve">115</t>
    </r>
    <r>
      <rPr>
        <sz val="10"/>
        <rFont val="WenQuanYi Zen Hei"/>
        <family val="2"/>
      </rPr>
      <t xml:space="preserve">年達成率</t>
    </r>
  </si>
  <si>
    <r>
      <rPr>
        <sz val="10"/>
        <rFont val="WenQuanYi Zen Hei"/>
        <family val="2"/>
      </rPr>
      <t xml:space="preserve">實績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目標</t>
    </r>
  </si>
  <si>
    <t xml:space="preserve">未達標群缺口占全行缺口比例</t>
  </si>
  <si>
    <r>
      <rPr>
        <sz val="10"/>
        <rFont val="WenQuanYi Zen Hei"/>
        <family val="2"/>
      </rPr>
      <t xml:space="preserve">簡報：</t>
    </r>
    <r>
      <rPr>
        <sz val="10"/>
        <rFont val="Arial"/>
        <family val="0"/>
        <charset val="1"/>
      </rPr>
      <t xml:space="preserve">86%</t>
    </r>
  </si>
  <si>
    <r>
      <rPr>
        <b val="true"/>
        <sz val="11"/>
        <rFont val="Arial"/>
        <family val="0"/>
        <charset val="1"/>
      </rPr>
      <t xml:space="preserve">115</t>
    </r>
    <r>
      <rPr>
        <b val="true"/>
        <sz val="11"/>
        <rFont val="WenQuanYi Zen Hei"/>
        <family val="2"/>
      </rPr>
      <t xml:space="preserve">年未達</t>
    </r>
    <r>
      <rPr>
        <b val="true"/>
        <sz val="11"/>
        <rFont val="Arial"/>
        <family val="0"/>
        <charset val="1"/>
      </rPr>
      <t xml:space="preserve">75%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Arial"/>
        <family val="0"/>
        <charset val="1"/>
      </rPr>
      <t xml:space="preserve">115TYPE</t>
    </r>
    <r>
      <rPr>
        <b val="true"/>
        <sz val="11"/>
        <rFont val="WenQuanYi Zen Hei"/>
        <family val="2"/>
      </rPr>
      <t xml:space="preserve">＝</t>
    </r>
    <r>
      <rPr>
        <b val="true"/>
        <sz val="11"/>
        <rFont val="Arial"/>
        <family val="0"/>
        <charset val="1"/>
      </rPr>
      <t xml:space="preserve">TYPE_6</t>
    </r>
    <r>
      <rPr>
        <b val="true"/>
        <sz val="11"/>
        <rFont val="WenQuanYi Zen Hei"/>
        <family val="2"/>
      </rPr>
      <t xml:space="preserve">）分行在兩種</t>
    </r>
    <r>
      <rPr>
        <b val="true"/>
        <sz val="11"/>
        <rFont val="Arial"/>
        <family val="0"/>
        <charset val="1"/>
      </rPr>
      <t xml:space="preserve">116</t>
    </r>
    <r>
      <rPr>
        <b val="true"/>
        <sz val="11"/>
        <rFont val="WenQuanYi Zen Hei"/>
        <family val="2"/>
      </rPr>
      <t xml:space="preserve">年規則下的目標（簡報第</t>
    </r>
    <r>
      <rPr>
        <b val="true"/>
        <sz val="11"/>
        <rFont val="Arial"/>
        <family val="0"/>
        <charset val="1"/>
      </rPr>
      <t xml:space="preserve">14</t>
    </r>
    <r>
      <rPr>
        <b val="true"/>
        <sz val="11"/>
        <rFont val="WenQuanYi Zen Hei"/>
        <family val="2"/>
      </rPr>
      <t xml:space="preserve">頁）</t>
    </r>
  </si>
  <si>
    <r>
      <rPr>
        <b val="true"/>
        <sz val="10"/>
        <color rgb="FFFFFFFF"/>
        <rFont val="WenQuanYi Zen Hei"/>
        <family val="2"/>
      </rPr>
      <t xml:space="preserve">較</t>
    </r>
    <r>
      <rPr>
        <b val="true"/>
        <sz val="10"/>
        <color rgb="FFFFFFFF"/>
        <rFont val="Arial"/>
        <family val="0"/>
        <charset val="1"/>
      </rPr>
      <t xml:space="preserve">115</t>
    </r>
    <r>
      <rPr>
        <b val="true"/>
        <sz val="10"/>
        <color rgb="FFFFFFFF"/>
        <rFont val="WenQuanYi Zen Hei"/>
        <family val="2"/>
      </rPr>
      <t xml:space="preserve">年實績</t>
    </r>
  </si>
  <si>
    <r>
      <rPr>
        <sz val="10"/>
        <rFont val="Arial"/>
        <family val="0"/>
        <charset val="1"/>
      </rPr>
      <t xml:space="preserve">115TYPE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TYPE_6</t>
    </r>
  </si>
  <si>
    <r>
      <rPr>
        <sz val="10"/>
        <rFont val="Arial"/>
        <family val="0"/>
        <charset val="1"/>
      </rPr>
      <t xml:space="preserve">115</t>
    </r>
    <r>
      <rPr>
        <sz val="10"/>
        <rFont val="WenQuanYi Zen Hei"/>
        <family val="2"/>
      </rPr>
      <t xml:space="preserve">年目標</t>
    </r>
  </si>
  <si>
    <r>
      <rPr>
        <sz val="10"/>
        <rFont val="Arial"/>
        <family val="0"/>
        <charset val="1"/>
      </rPr>
      <t xml:space="preserve">115</t>
    </r>
    <r>
      <rPr>
        <sz val="10"/>
        <rFont val="WenQuanYi Zen Hei"/>
        <family val="2"/>
      </rPr>
      <t xml:space="preserve">年年化實績</t>
    </r>
  </si>
  <si>
    <r>
      <rPr>
        <sz val="10"/>
        <rFont val="Arial"/>
        <family val="0"/>
        <charset val="1"/>
      </rPr>
      <t xml:space="preserve">116</t>
    </r>
    <r>
      <rPr>
        <sz val="10"/>
        <rFont val="WenQuanYi Zen Hei"/>
        <family val="2"/>
      </rPr>
      <t xml:space="preserve">年目標（沿用</t>
    </r>
    <r>
      <rPr>
        <sz val="10"/>
        <rFont val="Arial"/>
        <family val="0"/>
        <charset val="1"/>
      </rPr>
      <t xml:space="preserve">115</t>
    </r>
    <r>
      <rPr>
        <sz val="10"/>
        <rFont val="WenQuanYi Zen Hei"/>
        <family val="2"/>
      </rPr>
      <t xml:space="preserve">年規則：分行目標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參數）</t>
    </r>
  </si>
  <si>
    <r>
      <rPr>
        <sz val="10"/>
        <rFont val="Arial"/>
        <family val="0"/>
        <charset val="1"/>
      </rPr>
      <t xml:space="preserve">115</t>
    </r>
    <r>
      <rPr>
        <sz val="10"/>
        <rFont val="WenQuanYi Zen Hei"/>
        <family val="2"/>
      </rPr>
      <t xml:space="preserve">年規則最低級距 分行目標</t>
    </r>
    <r>
      <rPr>
        <sz val="10"/>
        <rFont val="Arial"/>
        <family val="0"/>
        <charset val="1"/>
      </rPr>
      <t xml:space="preserve">×115%</t>
    </r>
  </si>
  <si>
    <r>
      <rPr>
        <sz val="10"/>
        <rFont val="Arial"/>
        <family val="0"/>
        <charset val="1"/>
      </rPr>
      <t xml:space="preserve">116</t>
    </r>
    <r>
      <rPr>
        <sz val="10"/>
        <rFont val="WenQuanYi Zen Hei"/>
        <family val="2"/>
      </rPr>
      <t xml:space="preserve">年目標（方案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：預估實績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參數）</t>
    </r>
  </si>
  <si>
    <r>
      <rPr>
        <sz val="10"/>
        <rFont val="WenQuanYi Zen Hei"/>
        <family val="2"/>
      </rPr>
      <t xml:space="preserve">方案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未達</t>
    </r>
    <r>
      <rPr>
        <sz val="10"/>
        <rFont val="Arial"/>
        <family val="0"/>
        <charset val="1"/>
      </rPr>
      <t xml:space="preserve">80% </t>
    </r>
    <r>
      <rPr>
        <sz val="10"/>
        <rFont val="WenQuanYi Zen Hei"/>
        <family val="2"/>
      </rPr>
      <t xml:space="preserve">預估實績</t>
    </r>
    <r>
      <rPr>
        <sz val="10"/>
        <rFont val="Arial"/>
        <family val="0"/>
        <charset val="1"/>
      </rPr>
      <t xml:space="preserve">×103%</t>
    </r>
    <r>
      <rPr>
        <sz val="10"/>
        <rFont val="WenQuanYi Zen Hei"/>
        <family val="2"/>
      </rPr>
      <t xml:space="preserve">；對應原檔 </t>
    </r>
    <r>
      <rPr>
        <sz val="10"/>
        <rFont val="Arial"/>
        <family val="0"/>
        <charset val="1"/>
      </rPr>
      <t xml:space="preserve">116</t>
    </r>
    <r>
      <rPr>
        <sz val="10"/>
        <rFont val="WenQuanYi Zen Hei"/>
        <family val="2"/>
      </rPr>
      <t xml:space="preserve">目標底稿</t>
    </r>
    <r>
      <rPr>
        <sz val="10"/>
        <rFont val="Arial"/>
        <family val="0"/>
        <charset val="1"/>
      </rPr>
      <t xml:space="preserve">SUMMARY TYPE_6</t>
    </r>
  </si>
  <si>
    <r>
      <rPr>
        <sz val="11"/>
        <color theme="1"/>
        <rFont val="WenQuanYi Zen Hei"/>
        <family val="2"/>
      </rPr>
      <t xml:space="preserve">參數：沿用</t>
    </r>
    <r>
      <rPr>
        <sz val="11"/>
        <color theme="1"/>
        <rFont val="Calibri"/>
        <family val="2"/>
        <charset val="1"/>
      </rPr>
      <t xml:space="preserve">115</t>
    </r>
    <r>
      <rPr>
        <sz val="11"/>
        <color theme="1"/>
        <rFont val="WenQuanYi Zen Hei"/>
        <family val="2"/>
      </rPr>
      <t xml:space="preserve">年規則 乘數</t>
    </r>
  </si>
  <si>
    <r>
      <rPr>
        <sz val="11"/>
        <color theme="1"/>
        <rFont val="WenQuanYi Zen Hei"/>
        <family val="2"/>
      </rPr>
      <t xml:space="preserve">參數：方案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WenQuanYi Zen Hei"/>
        <family val="2"/>
      </rPr>
      <t xml:space="preserve">乘數</t>
    </r>
  </si>
  <si>
    <t xml:space="preserve">黃底藍字為可調整之假設參數。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</si>
</sst>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0.0%"/>
    <numFmt numFmtId="167" formatCode="0.00"/>
    <numFmt numFmtId="168" formatCode="0"/>
    <numFmt numFmtId="169" formatCode="General"/>
    <numFmt numFmtId="170" formatCode="0.00;\(0.00\);\-"/>
    <numFmt numFmtId="171" formatCode="\+0.0%;\-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WenQuanYi Zen Hei"/>
      <family val="2"/>
    </font>
    <font>
      <b val="true"/>
      <sz val="11"/>
      <name val="Arial"/>
      <family val="0"/>
      <charset val="1"/>
    </font>
    <font>
      <sz val="9"/>
      <color rgb="FF7F7F7F"/>
      <name val="WenQuanYi Zen Hei"/>
      <family val="2"/>
    </font>
    <font>
      <sz val="9"/>
      <color rgb="FF7F7F7F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FF"/>
      <name val="WenQuanYi Zen Hei"/>
      <family val="2"/>
    </font>
    <font>
      <sz val="10"/>
      <name val="Arial"/>
      <family val="0"/>
      <charset val="1"/>
    </font>
    <font>
      <b val="true"/>
      <sz val="10"/>
      <name val="WenQuanYi Zen Hei"/>
      <family val="2"/>
    </font>
    <font>
      <b val="true"/>
      <sz val="10"/>
      <name val="Arial"/>
      <family val="0"/>
      <charset val="1"/>
    </font>
    <font>
      <sz val="10"/>
      <name val="WenQuanYi Zen Hei"/>
      <family val="2"/>
    </font>
    <font>
      <b val="true"/>
      <sz val="10"/>
      <color rgb="FFC00000"/>
      <name val="Arial"/>
      <family val="0"/>
      <charset val="1"/>
    </font>
    <font>
      <b val="true"/>
      <sz val="10"/>
      <color rgb="FFC00000"/>
      <name val="WenQuanYi Zen Hei"/>
      <family val="2"/>
    </font>
    <font>
      <sz val="11"/>
      <color theme="1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DF1E9"/>
        <bgColor rgb="FFFFFFFF"/>
      </patternFill>
    </fill>
    <fill>
      <patternFill patternType="solid">
        <fgColor rgb="FFF8D7D5"/>
        <bgColor rgb="FFFDF1E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DF1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9"/>
    <col collapsed="false" customWidth="true" hidden="false" outlineLevel="0" max="4" min="4" style="0" width="14"/>
    <col collapsed="false" customWidth="true" hidden="false" outlineLevel="0" max="8" min="5" style="0" width="13"/>
    <col collapsed="false" customWidth="true" hidden="false" outlineLevel="0" max="9" min="9" style="0" width="10"/>
    <col collapsed="false" customWidth="true" hidden="false" outlineLevel="0" max="11" min="10" style="0" width="13"/>
    <col collapsed="false" customWidth="true" hidden="false" outlineLevel="0" max="12" min="12" style="0" width="10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6" min="15" style="0" width="13"/>
    <col collapsed="false" customWidth="true" hidden="false" outlineLevel="0" max="17" min="17" style="0" width="1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</row>
    <row r="5" customFormat="false" ht="15" hidden="false" customHeight="false" outlineLevel="0" collapsed="false">
      <c r="A5" s="5" t="n">
        <v>1</v>
      </c>
      <c r="B5" s="6" t="s">
        <v>19</v>
      </c>
      <c r="C5" s="5" t="n">
        <v>100</v>
      </c>
      <c r="D5" s="6" t="s">
        <v>20</v>
      </c>
      <c r="E5" s="5" t="s">
        <v>21</v>
      </c>
      <c r="F5" s="5" t="s">
        <v>22</v>
      </c>
      <c r="G5" s="7" t="n">
        <v>78160000</v>
      </c>
      <c r="H5" s="7" t="n">
        <v>96927210</v>
      </c>
      <c r="I5" s="8" t="n">
        <f aca="false">IFERROR(H5/G5,0)</f>
        <v>1.24011271750256</v>
      </c>
      <c r="J5" s="9" t="n">
        <v>103860000</v>
      </c>
      <c r="K5" s="9" t="n">
        <v>151815331</v>
      </c>
      <c r="L5" s="8" t="n">
        <f aca="false">IFERROR(K5/J5,0)</f>
        <v>1.461730512228</v>
      </c>
      <c r="M5" s="8" t="n">
        <f aca="false">IFERROR(J5/H5-1,0)</f>
        <v>0.0715257356525583</v>
      </c>
      <c r="N5" s="9" t="n">
        <f aca="false">K5-J5</f>
        <v>47955331</v>
      </c>
      <c r="O5" s="9" t="n">
        <f aca="false">MAX(N5,0)</f>
        <v>47955331</v>
      </c>
      <c r="P5" s="9" t="n">
        <f aca="false">MIN(N5,0)</f>
        <v>0</v>
      </c>
      <c r="Q5" s="8" t="n">
        <f aca="false">ROUND(L5,2)</f>
        <v>1.46</v>
      </c>
    </row>
    <row r="6" customFormat="false" ht="15" hidden="false" customHeight="false" outlineLevel="0" collapsed="false">
      <c r="A6" s="5" t="n">
        <v>2</v>
      </c>
      <c r="B6" s="6" t="s">
        <v>19</v>
      </c>
      <c r="C6" s="5" t="n">
        <v>101</v>
      </c>
      <c r="D6" s="6" t="s">
        <v>23</v>
      </c>
      <c r="E6" s="5" t="s">
        <v>24</v>
      </c>
      <c r="F6" s="5" t="s">
        <v>25</v>
      </c>
      <c r="G6" s="7" t="n">
        <v>29230000</v>
      </c>
      <c r="H6" s="7" t="n">
        <v>19689586</v>
      </c>
      <c r="I6" s="8" t="n">
        <f aca="false">IFERROR(H6/G6,0)</f>
        <v>0.673608826548067</v>
      </c>
      <c r="J6" s="9" t="n">
        <v>36030000</v>
      </c>
      <c r="K6" s="9" t="n">
        <v>24773020</v>
      </c>
      <c r="L6" s="8" t="n">
        <f aca="false">IFERROR(K6/J6,0)</f>
        <v>0.687566472384124</v>
      </c>
      <c r="M6" s="8" t="n">
        <f aca="false">IFERROR(J6/H6-1,0)</f>
        <v>0.8299013498811</v>
      </c>
      <c r="N6" s="9" t="n">
        <f aca="false">K6-J6</f>
        <v>-11256980</v>
      </c>
      <c r="O6" s="9" t="n">
        <f aca="false">MAX(N6,0)</f>
        <v>0</v>
      </c>
      <c r="P6" s="9" t="n">
        <f aca="false">MIN(N6,0)</f>
        <v>-11256980</v>
      </c>
      <c r="Q6" s="8" t="n">
        <f aca="false">ROUND(L6,2)</f>
        <v>0.69</v>
      </c>
    </row>
    <row r="7" customFormat="false" ht="15" hidden="false" customHeight="false" outlineLevel="0" collapsed="false">
      <c r="A7" s="5" t="n">
        <v>3</v>
      </c>
      <c r="B7" s="6" t="s">
        <v>19</v>
      </c>
      <c r="C7" s="5" t="n">
        <v>103</v>
      </c>
      <c r="D7" s="6" t="s">
        <v>26</v>
      </c>
      <c r="E7" s="5" t="s">
        <v>27</v>
      </c>
      <c r="F7" s="5" t="s">
        <v>28</v>
      </c>
      <c r="G7" s="7" t="n">
        <v>39690000</v>
      </c>
      <c r="H7" s="7" t="n">
        <v>35669507</v>
      </c>
      <c r="I7" s="8" t="n">
        <f aca="false">IFERROR(H7/G7,0)</f>
        <v>0.898702620307382</v>
      </c>
      <c r="J7" s="9" t="n">
        <v>44220000</v>
      </c>
      <c r="K7" s="9" t="n">
        <v>43030534</v>
      </c>
      <c r="L7" s="8" t="n">
        <f aca="false">IFERROR(K7/J7,0)</f>
        <v>0.973101175938489</v>
      </c>
      <c r="M7" s="8" t="n">
        <f aca="false">IFERROR(J7/H7-1,0)</f>
        <v>0.239714358821948</v>
      </c>
      <c r="N7" s="9" t="n">
        <f aca="false">K7-J7</f>
        <v>-1189466</v>
      </c>
      <c r="O7" s="9" t="n">
        <f aca="false">MAX(N7,0)</f>
        <v>0</v>
      </c>
      <c r="P7" s="9" t="n">
        <f aca="false">MIN(N7,0)</f>
        <v>-1189466</v>
      </c>
      <c r="Q7" s="8" t="n">
        <f aca="false">ROUND(L7,2)</f>
        <v>0.97</v>
      </c>
    </row>
    <row r="8" customFormat="false" ht="15" hidden="false" customHeight="false" outlineLevel="0" collapsed="false">
      <c r="A8" s="5" t="n">
        <v>4</v>
      </c>
      <c r="B8" s="6" t="s">
        <v>19</v>
      </c>
      <c r="C8" s="5" t="n">
        <v>104</v>
      </c>
      <c r="D8" s="6" t="s">
        <v>29</v>
      </c>
      <c r="E8" s="5" t="s">
        <v>30</v>
      </c>
      <c r="F8" s="5" t="s">
        <v>22</v>
      </c>
      <c r="G8" s="7" t="n">
        <v>64940000</v>
      </c>
      <c r="H8" s="7" t="n">
        <v>54762070</v>
      </c>
      <c r="I8" s="8" t="n">
        <f aca="false">IFERROR(H8/G8,0)</f>
        <v>0.84327178934401</v>
      </c>
      <c r="J8" s="9" t="n">
        <v>75640000</v>
      </c>
      <c r="K8" s="9" t="n">
        <v>100530724</v>
      </c>
      <c r="L8" s="8" t="n">
        <f aca="false">IFERROR(K8/J8,0)</f>
        <v>1.32906827075621</v>
      </c>
      <c r="M8" s="8" t="n">
        <f aca="false">IFERROR(J8/H8-1,0)</f>
        <v>0.381248006147321</v>
      </c>
      <c r="N8" s="9" t="n">
        <f aca="false">K8-J8</f>
        <v>24890724</v>
      </c>
      <c r="O8" s="9" t="n">
        <f aca="false">MAX(N8,0)</f>
        <v>24890724</v>
      </c>
      <c r="P8" s="9" t="n">
        <f aca="false">MIN(N8,0)</f>
        <v>0</v>
      </c>
      <c r="Q8" s="8" t="n">
        <f aca="false">ROUND(L8,2)</f>
        <v>1.33</v>
      </c>
    </row>
    <row r="9" customFormat="false" ht="15" hidden="false" customHeight="false" outlineLevel="0" collapsed="false">
      <c r="A9" s="5" t="n">
        <v>5</v>
      </c>
      <c r="B9" s="6" t="s">
        <v>19</v>
      </c>
      <c r="C9" s="5" t="n">
        <v>105</v>
      </c>
      <c r="D9" s="6" t="s">
        <v>31</v>
      </c>
      <c r="E9" s="5" t="s">
        <v>30</v>
      </c>
      <c r="F9" s="5" t="s">
        <v>25</v>
      </c>
      <c r="G9" s="7" t="n">
        <v>48860000</v>
      </c>
      <c r="H9" s="7" t="n">
        <v>38310005</v>
      </c>
      <c r="I9" s="8" t="n">
        <f aca="false">IFERROR(H9/G9,0)</f>
        <v>0.784077056897258</v>
      </c>
      <c r="J9" s="9" t="n">
        <v>57000000</v>
      </c>
      <c r="K9" s="9" t="n">
        <v>29760269</v>
      </c>
      <c r="L9" s="8" t="n">
        <f aca="false">IFERROR(K9/J9,0)</f>
        <v>0.52210998245614</v>
      </c>
      <c r="M9" s="8" t="n">
        <f aca="false">IFERROR(J9/H9-1,0)</f>
        <v>0.487861982790135</v>
      </c>
      <c r="N9" s="9" t="n">
        <f aca="false">K9-J9</f>
        <v>-27239731</v>
      </c>
      <c r="O9" s="9" t="n">
        <f aca="false">MAX(N9,0)</f>
        <v>0</v>
      </c>
      <c r="P9" s="9" t="n">
        <f aca="false">MIN(N9,0)</f>
        <v>-27239731</v>
      </c>
      <c r="Q9" s="8" t="n">
        <f aca="false">ROUND(L9,2)</f>
        <v>0.52</v>
      </c>
    </row>
    <row r="10" customFormat="false" ht="15" hidden="false" customHeight="false" outlineLevel="0" collapsed="false">
      <c r="A10" s="5" t="n">
        <v>6</v>
      </c>
      <c r="B10" s="6" t="s">
        <v>19</v>
      </c>
      <c r="C10" s="5" t="n">
        <v>106</v>
      </c>
      <c r="D10" s="6" t="s">
        <v>32</v>
      </c>
      <c r="E10" s="5" t="s">
        <v>30</v>
      </c>
      <c r="F10" s="5" t="s">
        <v>28</v>
      </c>
      <c r="G10" s="7" t="n">
        <v>85510000</v>
      </c>
      <c r="H10" s="7" t="n">
        <v>66866945</v>
      </c>
      <c r="I10" s="8" t="n">
        <f aca="false">IFERROR(H10/G10,0)</f>
        <v>0.78197807274003</v>
      </c>
      <c r="J10" s="9" t="n">
        <v>99340000</v>
      </c>
      <c r="K10" s="9" t="n">
        <v>91410089</v>
      </c>
      <c r="L10" s="8" t="n">
        <f aca="false">IFERROR(K10/J10,0)</f>
        <v>0.920174038655124</v>
      </c>
      <c r="M10" s="8" t="n">
        <f aca="false">IFERROR(J10/H10-1,0)</f>
        <v>0.485636886805581</v>
      </c>
      <c r="N10" s="9" t="n">
        <f aca="false">K10-J10</f>
        <v>-7929911</v>
      </c>
      <c r="O10" s="9" t="n">
        <f aca="false">MAX(N10,0)</f>
        <v>0</v>
      </c>
      <c r="P10" s="9" t="n">
        <f aca="false">MIN(N10,0)</f>
        <v>-7929911</v>
      </c>
      <c r="Q10" s="8" t="n">
        <f aca="false">ROUND(L10,2)</f>
        <v>0.92</v>
      </c>
    </row>
    <row r="11" customFormat="false" ht="15" hidden="false" customHeight="false" outlineLevel="0" collapsed="false">
      <c r="A11" s="5" t="n">
        <v>7</v>
      </c>
      <c r="B11" s="6" t="s">
        <v>19</v>
      </c>
      <c r="C11" s="5" t="n">
        <v>107</v>
      </c>
      <c r="D11" s="6" t="s">
        <v>33</v>
      </c>
      <c r="E11" s="5" t="s">
        <v>25</v>
      </c>
      <c r="F11" s="5" t="s">
        <v>22</v>
      </c>
      <c r="G11" s="7" t="n">
        <v>105180000</v>
      </c>
      <c r="H11" s="7" t="n">
        <v>106107606</v>
      </c>
      <c r="I11" s="8" t="n">
        <f aca="false">IFERROR(H11/G11,0)</f>
        <v>1.00881922418711</v>
      </c>
      <c r="J11" s="9" t="n">
        <v>118090000</v>
      </c>
      <c r="K11" s="9" t="n">
        <v>142594489</v>
      </c>
      <c r="L11" s="8" t="n">
        <f aca="false">IFERROR(K11/J11,0)</f>
        <v>1.20750689304768</v>
      </c>
      <c r="M11" s="8" t="n">
        <f aca="false">IFERROR(J11/H11-1,0)</f>
        <v>0.112926815067338</v>
      </c>
      <c r="N11" s="9" t="n">
        <f aca="false">K11-J11</f>
        <v>24504489</v>
      </c>
      <c r="O11" s="9" t="n">
        <f aca="false">MAX(N11,0)</f>
        <v>24504489</v>
      </c>
      <c r="P11" s="9" t="n">
        <f aca="false">MIN(N11,0)</f>
        <v>0</v>
      </c>
      <c r="Q11" s="8" t="n">
        <f aca="false">ROUND(L11,2)</f>
        <v>1.21</v>
      </c>
    </row>
    <row r="12" customFormat="false" ht="15" hidden="false" customHeight="false" outlineLevel="0" collapsed="false">
      <c r="A12" s="5" t="n">
        <v>8</v>
      </c>
      <c r="B12" s="6" t="s">
        <v>19</v>
      </c>
      <c r="C12" s="5" t="n">
        <v>108</v>
      </c>
      <c r="D12" s="6" t="s">
        <v>34</v>
      </c>
      <c r="E12" s="5" t="s">
        <v>24</v>
      </c>
      <c r="F12" s="5" t="s">
        <v>22</v>
      </c>
      <c r="G12" s="7" t="n">
        <v>115000000</v>
      </c>
      <c r="H12" s="7" t="n">
        <v>80802504</v>
      </c>
      <c r="I12" s="8" t="n">
        <f aca="false">IFERROR(H12/G12,0)</f>
        <v>0.702630469565217</v>
      </c>
      <c r="J12" s="9" t="n">
        <v>129150000</v>
      </c>
      <c r="K12" s="9" t="n">
        <v>181181359</v>
      </c>
      <c r="L12" s="8" t="n">
        <f aca="false">IFERROR(K12/J12,0)</f>
        <v>1.4028754084398</v>
      </c>
      <c r="M12" s="8" t="n">
        <f aca="false">IFERROR(J12/H12-1,0)</f>
        <v>0.598341556345828</v>
      </c>
      <c r="N12" s="9" t="n">
        <f aca="false">K12-J12</f>
        <v>52031359</v>
      </c>
      <c r="O12" s="9" t="n">
        <f aca="false">MAX(N12,0)</f>
        <v>52031359</v>
      </c>
      <c r="P12" s="9" t="n">
        <f aca="false">MIN(N12,0)</f>
        <v>0</v>
      </c>
      <c r="Q12" s="8" t="n">
        <f aca="false">ROUND(L12,2)</f>
        <v>1.4</v>
      </c>
    </row>
    <row r="13" customFormat="false" ht="15" hidden="false" customHeight="false" outlineLevel="0" collapsed="false">
      <c r="A13" s="5" t="n">
        <v>9</v>
      </c>
      <c r="B13" s="6" t="s">
        <v>19</v>
      </c>
      <c r="C13" s="5" t="n">
        <v>109</v>
      </c>
      <c r="D13" s="6" t="s">
        <v>35</v>
      </c>
      <c r="E13" s="5" t="s">
        <v>24</v>
      </c>
      <c r="F13" s="5" t="s">
        <v>28</v>
      </c>
      <c r="G13" s="7" t="n">
        <v>30930000</v>
      </c>
      <c r="H13" s="7" t="n">
        <v>17150369</v>
      </c>
      <c r="I13" s="8" t="n">
        <f aca="false">IFERROR(H13/G13,0)</f>
        <v>0.55448978338183</v>
      </c>
      <c r="J13" s="9" t="n">
        <v>37980000</v>
      </c>
      <c r="K13" s="9" t="n">
        <v>29449723</v>
      </c>
      <c r="L13" s="8" t="n">
        <f aca="false">IFERROR(K13/J13,0)</f>
        <v>0.775400816219063</v>
      </c>
      <c r="M13" s="8" t="n">
        <f aca="false">IFERROR(J13/H13-1,0)</f>
        <v>1.21452961157862</v>
      </c>
      <c r="N13" s="9" t="n">
        <f aca="false">K13-J13</f>
        <v>-8530277</v>
      </c>
      <c r="O13" s="9" t="n">
        <f aca="false">MAX(N13,0)</f>
        <v>0</v>
      </c>
      <c r="P13" s="9" t="n">
        <f aca="false">MIN(N13,0)</f>
        <v>-8530277</v>
      </c>
      <c r="Q13" s="8" t="n">
        <f aca="false">ROUND(L13,2)</f>
        <v>0.78</v>
      </c>
    </row>
    <row r="14" customFormat="false" ht="15" hidden="false" customHeight="false" outlineLevel="0" collapsed="false">
      <c r="A14" s="5" t="n">
        <v>10</v>
      </c>
      <c r="B14" s="6" t="s">
        <v>19</v>
      </c>
      <c r="C14" s="5" t="n">
        <v>110</v>
      </c>
      <c r="D14" s="6" t="s">
        <v>36</v>
      </c>
      <c r="E14" s="5" t="s">
        <v>30</v>
      </c>
      <c r="F14" s="5" t="s">
        <v>25</v>
      </c>
      <c r="G14" s="7" t="n">
        <v>51170000</v>
      </c>
      <c r="H14" s="7" t="n">
        <v>39462213</v>
      </c>
      <c r="I14" s="8" t="n">
        <f aca="false">IFERROR(H14/G14,0)</f>
        <v>0.771198221614227</v>
      </c>
      <c r="J14" s="9" t="n">
        <v>59470000</v>
      </c>
      <c r="K14" s="9" t="n">
        <v>44041600</v>
      </c>
      <c r="L14" s="8" t="n">
        <f aca="false">IFERROR(K14/J14,0)</f>
        <v>0.740568353791828</v>
      </c>
      <c r="M14" s="8" t="n">
        <f aca="false">IFERROR(J14/H14-1,0)</f>
        <v>0.507011276838428</v>
      </c>
      <c r="N14" s="9" t="n">
        <f aca="false">K14-J14</f>
        <v>-15428400</v>
      </c>
      <c r="O14" s="9" t="n">
        <f aca="false">MAX(N14,0)</f>
        <v>0</v>
      </c>
      <c r="P14" s="9" t="n">
        <f aca="false">MIN(N14,0)</f>
        <v>-15428400</v>
      </c>
      <c r="Q14" s="8" t="n">
        <f aca="false">ROUND(L14,2)</f>
        <v>0.74</v>
      </c>
    </row>
    <row r="15" customFormat="false" ht="15" hidden="false" customHeight="false" outlineLevel="0" collapsed="false">
      <c r="A15" s="5" t="n">
        <v>11</v>
      </c>
      <c r="B15" s="6" t="s">
        <v>19</v>
      </c>
      <c r="C15" s="5" t="n">
        <v>111</v>
      </c>
      <c r="D15" s="6" t="s">
        <v>37</v>
      </c>
      <c r="E15" s="5" t="s">
        <v>24</v>
      </c>
      <c r="F15" s="5" t="s">
        <v>38</v>
      </c>
      <c r="G15" s="7" t="n">
        <v>87800000</v>
      </c>
      <c r="H15" s="7" t="n">
        <v>60233303</v>
      </c>
      <c r="I15" s="8" t="n">
        <f aca="false">IFERROR(H15/G15,0)</f>
        <v>0.686028507972665</v>
      </c>
      <c r="J15" s="9" t="n">
        <v>101770000</v>
      </c>
      <c r="K15" s="9" t="n">
        <v>156079156</v>
      </c>
      <c r="L15" s="8" t="n">
        <f aca="false">IFERROR(K15/J15,0)</f>
        <v>1.53364602535128</v>
      </c>
      <c r="M15" s="8" t="n">
        <f aca="false">IFERROR(J15/H15-1,0)</f>
        <v>0.689596866371416</v>
      </c>
      <c r="N15" s="9" t="n">
        <f aca="false">K15-J15</f>
        <v>54309156</v>
      </c>
      <c r="O15" s="9" t="n">
        <f aca="false">MAX(N15,0)</f>
        <v>54309156</v>
      </c>
      <c r="P15" s="9" t="n">
        <f aca="false">MIN(N15,0)</f>
        <v>0</v>
      </c>
      <c r="Q15" s="8" t="n">
        <f aca="false">ROUND(L15,2)</f>
        <v>1.53</v>
      </c>
    </row>
    <row r="16" customFormat="false" ht="15" hidden="false" customHeight="false" outlineLevel="0" collapsed="false">
      <c r="A16" s="5" t="n">
        <v>12</v>
      </c>
      <c r="B16" s="6" t="s">
        <v>19</v>
      </c>
      <c r="C16" s="5" t="n">
        <v>112</v>
      </c>
      <c r="D16" s="6" t="s">
        <v>39</v>
      </c>
      <c r="E16" s="5" t="s">
        <v>30</v>
      </c>
      <c r="F16" s="5" t="s">
        <v>21</v>
      </c>
      <c r="G16" s="7" t="n">
        <v>57240000</v>
      </c>
      <c r="H16" s="7" t="n">
        <v>43209787</v>
      </c>
      <c r="I16" s="8" t="n">
        <f aca="false">IFERROR(H16/G16,0)</f>
        <v>0.754887962962963</v>
      </c>
      <c r="J16" s="9" t="n">
        <v>68030000</v>
      </c>
      <c r="K16" s="9" t="n">
        <v>81157545</v>
      </c>
      <c r="L16" s="8" t="n">
        <f aca="false">IFERROR(K16/J16,0)</f>
        <v>1.19296699985301</v>
      </c>
      <c r="M16" s="8" t="n">
        <f aca="false">IFERROR(J16/H16-1,0)</f>
        <v>0.574411834059724</v>
      </c>
      <c r="N16" s="9" t="n">
        <f aca="false">K16-J16</f>
        <v>13127545</v>
      </c>
      <c r="O16" s="9" t="n">
        <f aca="false">MAX(N16,0)</f>
        <v>13127545</v>
      </c>
      <c r="P16" s="9" t="n">
        <f aca="false">MIN(N16,0)</f>
        <v>0</v>
      </c>
      <c r="Q16" s="8" t="n">
        <f aca="false">ROUND(L16,2)</f>
        <v>1.19</v>
      </c>
    </row>
    <row r="17" customFormat="false" ht="15" hidden="false" customHeight="false" outlineLevel="0" collapsed="false">
      <c r="A17" s="5" t="n">
        <v>13</v>
      </c>
      <c r="B17" s="6" t="s">
        <v>19</v>
      </c>
      <c r="C17" s="5" t="n">
        <v>113</v>
      </c>
      <c r="D17" s="6" t="s">
        <v>40</v>
      </c>
      <c r="E17" s="5" t="s">
        <v>30</v>
      </c>
      <c r="F17" s="5" t="s">
        <v>21</v>
      </c>
      <c r="G17" s="7" t="n">
        <v>78670000</v>
      </c>
      <c r="H17" s="7" t="n">
        <v>63518819</v>
      </c>
      <c r="I17" s="8" t="n">
        <f aca="false">IFERROR(H17/G17,0)</f>
        <v>0.807408402186348</v>
      </c>
      <c r="J17" s="9" t="n">
        <v>91250000</v>
      </c>
      <c r="K17" s="9" t="n">
        <v>98528137</v>
      </c>
      <c r="L17" s="8" t="n">
        <f aca="false">IFERROR(K17/J17,0)</f>
        <v>1.07976040547945</v>
      </c>
      <c r="M17" s="8" t="n">
        <f aca="false">IFERROR(J17/H17-1,0)</f>
        <v>0.436582125369806</v>
      </c>
      <c r="N17" s="9" t="n">
        <f aca="false">K17-J17</f>
        <v>7278137</v>
      </c>
      <c r="O17" s="9" t="n">
        <f aca="false">MAX(N17,0)</f>
        <v>7278137</v>
      </c>
      <c r="P17" s="9" t="n">
        <f aca="false">MIN(N17,0)</f>
        <v>0</v>
      </c>
      <c r="Q17" s="8" t="n">
        <f aca="false">ROUND(L17,2)</f>
        <v>1.08</v>
      </c>
    </row>
    <row r="18" customFormat="false" ht="15" hidden="false" customHeight="false" outlineLevel="0" collapsed="false">
      <c r="A18" s="5" t="n">
        <v>14</v>
      </c>
      <c r="B18" s="6" t="s">
        <v>19</v>
      </c>
      <c r="C18" s="5" t="n">
        <v>114</v>
      </c>
      <c r="D18" s="6" t="s">
        <v>41</v>
      </c>
      <c r="E18" s="5" t="s">
        <v>30</v>
      </c>
      <c r="F18" s="5" t="s">
        <v>25</v>
      </c>
      <c r="G18" s="7" t="n">
        <v>71770000</v>
      </c>
      <c r="H18" s="7" t="n">
        <v>53642398</v>
      </c>
      <c r="I18" s="8" t="n">
        <f aca="false">IFERROR(H18/G18,0)</f>
        <v>0.747420900097534</v>
      </c>
      <c r="J18" s="9" t="n">
        <v>83440000</v>
      </c>
      <c r="K18" s="9" t="n">
        <v>61542910</v>
      </c>
      <c r="L18" s="8" t="n">
        <f aca="false">IFERROR(K18/J18,0)</f>
        <v>0.737570829338447</v>
      </c>
      <c r="M18" s="8" t="n">
        <f aca="false">IFERROR(J18/H18-1,0)</f>
        <v>0.555486016863005</v>
      </c>
      <c r="N18" s="9" t="n">
        <f aca="false">K18-J18</f>
        <v>-21897090</v>
      </c>
      <c r="O18" s="9" t="n">
        <f aca="false">MAX(N18,0)</f>
        <v>0</v>
      </c>
      <c r="P18" s="9" t="n">
        <f aca="false">MIN(N18,0)</f>
        <v>-21897090</v>
      </c>
      <c r="Q18" s="8" t="n">
        <f aca="false">ROUND(L18,2)</f>
        <v>0.74</v>
      </c>
    </row>
    <row r="19" customFormat="false" ht="15" hidden="false" customHeight="false" outlineLevel="0" collapsed="false">
      <c r="A19" s="5" t="n">
        <v>15</v>
      </c>
      <c r="B19" s="6" t="s">
        <v>19</v>
      </c>
      <c r="C19" s="5" t="n">
        <v>115</v>
      </c>
      <c r="D19" s="6" t="s">
        <v>42</v>
      </c>
      <c r="E19" s="5" t="s">
        <v>38</v>
      </c>
      <c r="F19" s="5" t="s">
        <v>28</v>
      </c>
      <c r="G19" s="7" t="n">
        <v>55680000</v>
      </c>
      <c r="H19" s="7" t="n">
        <v>85698827</v>
      </c>
      <c r="I19" s="8" t="n">
        <f aca="false">IFERROR(H19/G19,0)</f>
        <v>1.53913123204023</v>
      </c>
      <c r="J19" s="9" t="n">
        <v>59930000</v>
      </c>
      <c r="K19" s="9" t="n">
        <v>51207175</v>
      </c>
      <c r="L19" s="8" t="n">
        <f aca="false">IFERROR(K19/J19,0)</f>
        <v>0.854449774737193</v>
      </c>
      <c r="M19" s="8" t="n">
        <f aca="false">IFERROR(J19/H19-1,0)</f>
        <v>-0.300690545040949</v>
      </c>
      <c r="N19" s="9" t="n">
        <f aca="false">K19-J19</f>
        <v>-8722825</v>
      </c>
      <c r="O19" s="9" t="n">
        <f aca="false">MAX(N19,0)</f>
        <v>0</v>
      </c>
      <c r="P19" s="9" t="n">
        <f aca="false">MIN(N19,0)</f>
        <v>-8722825</v>
      </c>
      <c r="Q19" s="8" t="n">
        <f aca="false">ROUND(L19,2)</f>
        <v>0.85</v>
      </c>
    </row>
    <row r="20" customFormat="false" ht="15" hidden="false" customHeight="false" outlineLevel="0" collapsed="false">
      <c r="A20" s="5" t="n">
        <v>16</v>
      </c>
      <c r="B20" s="6" t="s">
        <v>19</v>
      </c>
      <c r="C20" s="5" t="n">
        <v>116</v>
      </c>
      <c r="D20" s="6" t="s">
        <v>43</v>
      </c>
      <c r="E20" s="5" t="s">
        <v>30</v>
      </c>
      <c r="F20" s="5" t="s">
        <v>28</v>
      </c>
      <c r="G20" s="7" t="n">
        <v>42730000</v>
      </c>
      <c r="H20" s="7" t="n">
        <v>34235393</v>
      </c>
      <c r="I20" s="8" t="n">
        <f aca="false">IFERROR(H20/G20,0)</f>
        <v>0.801202738123099</v>
      </c>
      <c r="J20" s="9" t="n">
        <v>50090000</v>
      </c>
      <c r="K20" s="9" t="n">
        <v>38986009</v>
      </c>
      <c r="L20" s="8" t="n">
        <f aca="false">IFERROR(K20/J20,0)</f>
        <v>0.778319205430226</v>
      </c>
      <c r="M20" s="8" t="n">
        <f aca="false">IFERROR(J20/H20-1,0)</f>
        <v>0.4631057397238</v>
      </c>
      <c r="N20" s="9" t="n">
        <f aca="false">K20-J20</f>
        <v>-11103991</v>
      </c>
      <c r="O20" s="9" t="n">
        <f aca="false">MAX(N20,0)</f>
        <v>0</v>
      </c>
      <c r="P20" s="9" t="n">
        <f aca="false">MIN(N20,0)</f>
        <v>-11103991</v>
      </c>
      <c r="Q20" s="8" t="n">
        <f aca="false">ROUND(L20,2)</f>
        <v>0.78</v>
      </c>
    </row>
    <row r="21" customFormat="false" ht="15" hidden="false" customHeight="false" outlineLevel="0" collapsed="false">
      <c r="A21" s="5" t="n">
        <v>17</v>
      </c>
      <c r="B21" s="6" t="s">
        <v>19</v>
      </c>
      <c r="C21" s="5" t="n">
        <v>117</v>
      </c>
      <c r="D21" s="6" t="s">
        <v>44</v>
      </c>
      <c r="E21" s="5" t="s">
        <v>28</v>
      </c>
      <c r="F21" s="5" t="s">
        <v>21</v>
      </c>
      <c r="G21" s="7" t="n">
        <v>63530000</v>
      </c>
      <c r="H21" s="7" t="n">
        <v>69701811</v>
      </c>
      <c r="I21" s="8" t="n">
        <f aca="false">IFERROR(H21/G21,0)</f>
        <v>1.09714797733354</v>
      </c>
      <c r="J21" s="9" t="n">
        <v>76020000</v>
      </c>
      <c r="K21" s="9" t="n">
        <v>84357174</v>
      </c>
      <c r="L21" s="8" t="n">
        <f aca="false">IFERROR(K21/J21,0)</f>
        <v>1.10967079715864</v>
      </c>
      <c r="M21" s="8" t="n">
        <f aca="false">IFERROR(J21/H21-1,0)</f>
        <v>0.0906459804896604</v>
      </c>
      <c r="N21" s="9" t="n">
        <f aca="false">K21-J21</f>
        <v>8337174</v>
      </c>
      <c r="O21" s="9" t="n">
        <f aca="false">MAX(N21,0)</f>
        <v>8337174</v>
      </c>
      <c r="P21" s="9" t="n">
        <f aca="false">MIN(N21,0)</f>
        <v>0</v>
      </c>
      <c r="Q21" s="8" t="n">
        <f aca="false">ROUND(L21,2)</f>
        <v>1.11</v>
      </c>
    </row>
    <row r="22" customFormat="false" ht="15" hidden="false" customHeight="false" outlineLevel="0" collapsed="false">
      <c r="A22" s="5" t="n">
        <v>18</v>
      </c>
      <c r="B22" s="6" t="s">
        <v>19</v>
      </c>
      <c r="C22" s="5" t="n">
        <v>118</v>
      </c>
      <c r="D22" s="6" t="s">
        <v>45</v>
      </c>
      <c r="E22" s="5" t="s">
        <v>30</v>
      </c>
      <c r="F22" s="5" t="s">
        <v>28</v>
      </c>
      <c r="G22" s="7" t="n">
        <v>63430000</v>
      </c>
      <c r="H22" s="7" t="n">
        <v>53831115</v>
      </c>
      <c r="I22" s="8" t="n">
        <f aca="false">IFERROR(H22/G22,0)</f>
        <v>0.848669635819013</v>
      </c>
      <c r="J22" s="9" t="n">
        <v>73660000</v>
      </c>
      <c r="K22" s="9" t="n">
        <v>67010394</v>
      </c>
      <c r="L22" s="8" t="n">
        <f aca="false">IFERROR(K22/J22,0)</f>
        <v>0.909725685582406</v>
      </c>
      <c r="M22" s="8" t="n">
        <f aca="false">IFERROR(J22/H22-1,0)</f>
        <v>0.368353599957943</v>
      </c>
      <c r="N22" s="9" t="n">
        <f aca="false">K22-J22</f>
        <v>-6649606</v>
      </c>
      <c r="O22" s="9" t="n">
        <f aca="false">MAX(N22,0)</f>
        <v>0</v>
      </c>
      <c r="P22" s="9" t="n">
        <f aca="false">MIN(N22,0)</f>
        <v>-6649606</v>
      </c>
      <c r="Q22" s="8" t="n">
        <f aca="false">ROUND(L22,2)</f>
        <v>0.91</v>
      </c>
    </row>
    <row r="23" customFormat="false" ht="15" hidden="false" customHeight="false" outlineLevel="0" collapsed="false">
      <c r="A23" s="5" t="n">
        <v>19</v>
      </c>
      <c r="B23" s="6" t="s">
        <v>19</v>
      </c>
      <c r="C23" s="5" t="n">
        <v>119</v>
      </c>
      <c r="D23" s="6" t="s">
        <v>46</v>
      </c>
      <c r="E23" s="5" t="s">
        <v>30</v>
      </c>
      <c r="F23" s="5" t="s">
        <v>28</v>
      </c>
      <c r="G23" s="7" t="n">
        <v>43360000</v>
      </c>
      <c r="H23" s="7" t="n">
        <v>38033854</v>
      </c>
      <c r="I23" s="8" t="n">
        <f aca="false">IFERROR(H23/G23,0)</f>
        <v>0.877164529520295</v>
      </c>
      <c r="J23" s="9" t="n">
        <v>50390000</v>
      </c>
      <c r="K23" s="9" t="n">
        <v>49779745</v>
      </c>
      <c r="L23" s="8" t="n">
        <f aca="false">IFERROR(K23/J23,0)</f>
        <v>0.987889362968843</v>
      </c>
      <c r="M23" s="8" t="n">
        <f aca="false">IFERROR(J23/H23-1,0)</f>
        <v>0.324872309811149</v>
      </c>
      <c r="N23" s="9" t="n">
        <f aca="false">K23-J23</f>
        <v>-610255</v>
      </c>
      <c r="O23" s="9" t="n">
        <f aca="false">MAX(N23,0)</f>
        <v>0</v>
      </c>
      <c r="P23" s="9" t="n">
        <f aca="false">MIN(N23,0)</f>
        <v>-610255</v>
      </c>
      <c r="Q23" s="8" t="n">
        <f aca="false">ROUND(L23,2)</f>
        <v>0.99</v>
      </c>
    </row>
    <row r="24" customFormat="false" ht="15" hidden="false" customHeight="false" outlineLevel="0" collapsed="false">
      <c r="A24" s="5" t="n">
        <v>20</v>
      </c>
      <c r="B24" s="6" t="s">
        <v>19</v>
      </c>
      <c r="C24" s="5" t="n">
        <v>120</v>
      </c>
      <c r="D24" s="6" t="s">
        <v>47</v>
      </c>
      <c r="E24" s="5" t="s">
        <v>27</v>
      </c>
      <c r="F24" s="5" t="s">
        <v>21</v>
      </c>
      <c r="G24" s="7" t="n">
        <v>80680000</v>
      </c>
      <c r="H24" s="7" t="n">
        <v>79834394</v>
      </c>
      <c r="I24" s="8" t="n">
        <f aca="false">IFERROR(H24/G24,0)</f>
        <v>0.989519013386217</v>
      </c>
      <c r="J24" s="9" t="n">
        <v>89830000</v>
      </c>
      <c r="K24" s="9" t="n">
        <v>100696952</v>
      </c>
      <c r="L24" s="8" t="n">
        <f aca="false">IFERROR(K24/J24,0)</f>
        <v>1.12097241456084</v>
      </c>
      <c r="M24" s="8" t="n">
        <f aca="false">IFERROR(J24/H24-1,0)</f>
        <v>0.125204257202729</v>
      </c>
      <c r="N24" s="9" t="n">
        <f aca="false">K24-J24</f>
        <v>10866952</v>
      </c>
      <c r="O24" s="9" t="n">
        <f aca="false">MAX(N24,0)</f>
        <v>10866952</v>
      </c>
      <c r="P24" s="9" t="n">
        <f aca="false">MIN(N24,0)</f>
        <v>0</v>
      </c>
      <c r="Q24" s="8" t="n">
        <f aca="false">ROUND(L24,2)</f>
        <v>1.12</v>
      </c>
    </row>
    <row r="25" customFormat="false" ht="15" hidden="false" customHeight="false" outlineLevel="0" collapsed="false">
      <c r="A25" s="5" t="n">
        <v>21</v>
      </c>
      <c r="B25" s="6" t="s">
        <v>19</v>
      </c>
      <c r="C25" s="5" t="n">
        <v>121</v>
      </c>
      <c r="D25" s="6" t="s">
        <v>48</v>
      </c>
      <c r="E25" s="5" t="s">
        <v>25</v>
      </c>
      <c r="F25" s="5" t="s">
        <v>28</v>
      </c>
      <c r="G25" s="7" t="n">
        <v>62700000</v>
      </c>
      <c r="H25" s="7" t="n">
        <v>65420852</v>
      </c>
      <c r="I25" s="8" t="n">
        <f aca="false">IFERROR(H25/G25,0)</f>
        <v>1.04339476874003</v>
      </c>
      <c r="J25" s="9" t="n">
        <v>72590000</v>
      </c>
      <c r="K25" s="9" t="n">
        <v>69530860</v>
      </c>
      <c r="L25" s="8" t="n">
        <f aca="false">IFERROR(K25/J25,0)</f>
        <v>0.957857280617165</v>
      </c>
      <c r="M25" s="8" t="n">
        <f aca="false">IFERROR(J25/H25-1,0)</f>
        <v>0.109585060127312</v>
      </c>
      <c r="N25" s="9" t="n">
        <f aca="false">K25-J25</f>
        <v>-3059140</v>
      </c>
      <c r="O25" s="9" t="n">
        <f aca="false">MAX(N25,0)</f>
        <v>0</v>
      </c>
      <c r="P25" s="9" t="n">
        <f aca="false">MIN(N25,0)</f>
        <v>-3059140</v>
      </c>
      <c r="Q25" s="8" t="n">
        <f aca="false">ROUND(L25,2)</f>
        <v>0.96</v>
      </c>
    </row>
    <row r="26" customFormat="false" ht="15" hidden="false" customHeight="false" outlineLevel="0" collapsed="false">
      <c r="A26" s="5" t="n">
        <v>22</v>
      </c>
      <c r="B26" s="6" t="s">
        <v>19</v>
      </c>
      <c r="C26" s="5" t="n">
        <v>122</v>
      </c>
      <c r="D26" s="6" t="s">
        <v>49</v>
      </c>
      <c r="E26" s="5" t="s">
        <v>30</v>
      </c>
      <c r="F26" s="5" t="s">
        <v>21</v>
      </c>
      <c r="G26" s="7" t="n">
        <v>69440000</v>
      </c>
      <c r="H26" s="7" t="n">
        <v>58021765</v>
      </c>
      <c r="I26" s="8" t="n">
        <f aca="false">IFERROR(H26/G26,0)</f>
        <v>0.835566892281106</v>
      </c>
      <c r="J26" s="9" t="n">
        <v>80720000</v>
      </c>
      <c r="K26" s="9" t="n">
        <v>84497964</v>
      </c>
      <c r="L26" s="8" t="n">
        <f aca="false">IFERROR(K26/J26,0)</f>
        <v>1.04680332011893</v>
      </c>
      <c r="M26" s="8" t="n">
        <f aca="false">IFERROR(J26/H26-1,0)</f>
        <v>0.391202077358384</v>
      </c>
      <c r="N26" s="9" t="n">
        <f aca="false">K26-J26</f>
        <v>3777964</v>
      </c>
      <c r="O26" s="9" t="n">
        <f aca="false">MAX(N26,0)</f>
        <v>3777964</v>
      </c>
      <c r="P26" s="9" t="n">
        <f aca="false">MIN(N26,0)</f>
        <v>0</v>
      </c>
      <c r="Q26" s="8" t="n">
        <f aca="false">ROUND(L26,2)</f>
        <v>1.05</v>
      </c>
    </row>
    <row r="27" customFormat="false" ht="15" hidden="false" customHeight="false" outlineLevel="0" collapsed="false">
      <c r="A27" s="5" t="n">
        <v>23</v>
      </c>
      <c r="B27" s="6" t="s">
        <v>19</v>
      </c>
      <c r="C27" s="5" t="n">
        <v>123</v>
      </c>
      <c r="D27" s="6" t="s">
        <v>50</v>
      </c>
      <c r="E27" s="5" t="s">
        <v>30</v>
      </c>
      <c r="F27" s="5" t="s">
        <v>21</v>
      </c>
      <c r="G27" s="7" t="n">
        <v>81340000</v>
      </c>
      <c r="H27" s="7" t="n">
        <v>61025846</v>
      </c>
      <c r="I27" s="8" t="n">
        <f aca="false">IFERROR(H27/G27,0)</f>
        <v>0.750256282271945</v>
      </c>
      <c r="J27" s="9" t="n">
        <v>93950000</v>
      </c>
      <c r="K27" s="9" t="n">
        <v>98773192</v>
      </c>
      <c r="L27" s="8" t="n">
        <f aca="false">IFERROR(K27/J27,0)</f>
        <v>1.05133786056413</v>
      </c>
      <c r="M27" s="8" t="n">
        <f aca="false">IFERROR(J27/H27-1,0)</f>
        <v>0.539511635774783</v>
      </c>
      <c r="N27" s="9" t="n">
        <f aca="false">K27-J27</f>
        <v>4823192</v>
      </c>
      <c r="O27" s="9" t="n">
        <f aca="false">MAX(N27,0)</f>
        <v>4823192</v>
      </c>
      <c r="P27" s="9" t="n">
        <f aca="false">MIN(N27,0)</f>
        <v>0</v>
      </c>
      <c r="Q27" s="8" t="n">
        <f aca="false">ROUND(L27,2)</f>
        <v>1.05</v>
      </c>
    </row>
    <row r="28" customFormat="false" ht="15" hidden="false" customHeight="false" outlineLevel="0" collapsed="false">
      <c r="A28" s="5" t="n">
        <v>24</v>
      </c>
      <c r="B28" s="6" t="s">
        <v>19</v>
      </c>
      <c r="C28" s="5" t="n">
        <v>124</v>
      </c>
      <c r="D28" s="6" t="s">
        <v>51</v>
      </c>
      <c r="E28" s="5" t="s">
        <v>27</v>
      </c>
      <c r="F28" s="5" t="s">
        <v>21</v>
      </c>
      <c r="G28" s="7" t="n">
        <v>37660000</v>
      </c>
      <c r="H28" s="7" t="n">
        <v>36429353</v>
      </c>
      <c r="I28" s="8" t="n">
        <f aca="false">IFERROR(H28/G28,0)</f>
        <v>0.967322172065852</v>
      </c>
      <c r="J28" s="9" t="n">
        <v>42510000</v>
      </c>
      <c r="K28" s="9" t="n">
        <v>43108651</v>
      </c>
      <c r="L28" s="8" t="n">
        <f aca="false">IFERROR(K28/J28,0)</f>
        <v>1.01408259233122</v>
      </c>
      <c r="M28" s="8" t="n">
        <f aca="false">IFERROR(J28/H28-1,0)</f>
        <v>0.166916140399199</v>
      </c>
      <c r="N28" s="9" t="n">
        <f aca="false">K28-J28</f>
        <v>598651</v>
      </c>
      <c r="O28" s="9" t="n">
        <f aca="false">MAX(N28,0)</f>
        <v>598651</v>
      </c>
      <c r="P28" s="9" t="n">
        <f aca="false">MIN(N28,0)</f>
        <v>0</v>
      </c>
      <c r="Q28" s="8" t="n">
        <f aca="false">ROUND(L28,2)</f>
        <v>1.01</v>
      </c>
    </row>
    <row r="29" customFormat="false" ht="15" hidden="false" customHeight="false" outlineLevel="0" collapsed="false">
      <c r="A29" s="5" t="n">
        <v>25</v>
      </c>
      <c r="B29" s="6" t="s">
        <v>19</v>
      </c>
      <c r="C29" s="5" t="n">
        <v>125</v>
      </c>
      <c r="D29" s="6" t="s">
        <v>52</v>
      </c>
      <c r="E29" s="5" t="s">
        <v>24</v>
      </c>
      <c r="F29" s="5" t="s">
        <v>28</v>
      </c>
      <c r="G29" s="7" t="n">
        <v>70110000</v>
      </c>
      <c r="H29" s="7" t="n">
        <v>47437778</v>
      </c>
      <c r="I29" s="8" t="n">
        <f aca="false">IFERROR(H29/G29,0)</f>
        <v>0.676619283982314</v>
      </c>
      <c r="J29" s="9" t="n">
        <v>84440000</v>
      </c>
      <c r="K29" s="9" t="n">
        <v>63203960</v>
      </c>
      <c r="L29" s="8" t="n">
        <f aca="false">IFERROR(K29/J29,0)</f>
        <v>0.74850734249171</v>
      </c>
      <c r="M29" s="8" t="n">
        <f aca="false">IFERROR(J29/H29-1,0)</f>
        <v>0.780015918958093</v>
      </c>
      <c r="N29" s="9" t="n">
        <f aca="false">K29-J29</f>
        <v>-21236040</v>
      </c>
      <c r="O29" s="9" t="n">
        <f aca="false">MAX(N29,0)</f>
        <v>0</v>
      </c>
      <c r="P29" s="9" t="n">
        <f aca="false">MIN(N29,0)</f>
        <v>-21236040</v>
      </c>
      <c r="Q29" s="8" t="n">
        <f aca="false">ROUND(L29,2)</f>
        <v>0.75</v>
      </c>
    </row>
    <row r="30" customFormat="false" ht="15" hidden="false" customHeight="false" outlineLevel="0" collapsed="false">
      <c r="A30" s="5" t="n">
        <v>26</v>
      </c>
      <c r="B30" s="6" t="s">
        <v>19</v>
      </c>
      <c r="C30" s="5" t="n">
        <v>126</v>
      </c>
      <c r="D30" s="6" t="s">
        <v>53</v>
      </c>
      <c r="E30" s="5" t="s">
        <v>27</v>
      </c>
      <c r="F30" s="5" t="s">
        <v>22</v>
      </c>
      <c r="G30" s="7" t="n">
        <v>80260000</v>
      </c>
      <c r="H30" s="7" t="n">
        <v>75834077</v>
      </c>
      <c r="I30" s="8" t="n">
        <f aca="false">IFERROR(H30/G30,0)</f>
        <v>0.944855183154747</v>
      </c>
      <c r="J30" s="9" t="n">
        <v>89400000</v>
      </c>
      <c r="K30" s="9" t="n">
        <v>109982593</v>
      </c>
      <c r="L30" s="8" t="n">
        <f aca="false">IFERROR(K30/J30,0)</f>
        <v>1.23023034675615</v>
      </c>
      <c r="M30" s="8" t="n">
        <f aca="false">IFERROR(J30/H30-1,0)</f>
        <v>0.178889538010728</v>
      </c>
      <c r="N30" s="9" t="n">
        <f aca="false">K30-J30</f>
        <v>20582593</v>
      </c>
      <c r="O30" s="9" t="n">
        <f aca="false">MAX(N30,0)</f>
        <v>20582593</v>
      </c>
      <c r="P30" s="9" t="n">
        <f aca="false">MIN(N30,0)</f>
        <v>0</v>
      </c>
      <c r="Q30" s="8" t="n">
        <f aca="false">ROUND(L30,2)</f>
        <v>1.23</v>
      </c>
    </row>
    <row r="31" customFormat="false" ht="15" hidden="false" customHeight="false" outlineLevel="0" collapsed="false">
      <c r="A31" s="5" t="n">
        <v>27</v>
      </c>
      <c r="B31" s="6" t="s">
        <v>19</v>
      </c>
      <c r="C31" s="5" t="n">
        <v>127</v>
      </c>
      <c r="D31" s="6" t="s">
        <v>54</v>
      </c>
      <c r="E31" s="5" t="s">
        <v>27</v>
      </c>
      <c r="F31" s="5" t="s">
        <v>28</v>
      </c>
      <c r="G31" s="7" t="n">
        <v>61660000</v>
      </c>
      <c r="H31" s="7" t="n">
        <v>59587098</v>
      </c>
      <c r="I31" s="8" t="n">
        <f aca="false">IFERROR(H31/G31,0)</f>
        <v>0.966381738566332</v>
      </c>
      <c r="J31" s="9" t="n">
        <v>68820000</v>
      </c>
      <c r="K31" s="9" t="n">
        <v>67142368</v>
      </c>
      <c r="L31" s="8" t="n">
        <f aca="false">IFERROR(K31/J31,0)</f>
        <v>0.975622900319675</v>
      </c>
      <c r="M31" s="8" t="n">
        <f aca="false">IFERROR(J31/H31-1,0)</f>
        <v>0.154948005690762</v>
      </c>
      <c r="N31" s="9" t="n">
        <f aca="false">K31-J31</f>
        <v>-1677632</v>
      </c>
      <c r="O31" s="9" t="n">
        <f aca="false">MAX(N31,0)</f>
        <v>0</v>
      </c>
      <c r="P31" s="9" t="n">
        <f aca="false">MIN(N31,0)</f>
        <v>-1677632</v>
      </c>
      <c r="Q31" s="8" t="n">
        <f aca="false">ROUND(L31,2)</f>
        <v>0.98</v>
      </c>
    </row>
    <row r="32" customFormat="false" ht="15" hidden="false" customHeight="false" outlineLevel="0" collapsed="false">
      <c r="A32" s="5" t="n">
        <v>28</v>
      </c>
      <c r="B32" s="6" t="s">
        <v>19</v>
      </c>
      <c r="C32" s="5" t="n">
        <v>128</v>
      </c>
      <c r="D32" s="6" t="s">
        <v>55</v>
      </c>
      <c r="E32" s="5" t="s">
        <v>30</v>
      </c>
      <c r="F32" s="5" t="s">
        <v>28</v>
      </c>
      <c r="G32" s="7" t="n">
        <v>40530000</v>
      </c>
      <c r="H32" s="7" t="n">
        <v>30221864</v>
      </c>
      <c r="I32" s="8" t="n">
        <f aca="false">IFERROR(H32/G32,0)</f>
        <v>0.745666518628177</v>
      </c>
      <c r="J32" s="9" t="n">
        <v>47250000</v>
      </c>
      <c r="K32" s="9" t="n">
        <v>40121914</v>
      </c>
      <c r="L32" s="8" t="n">
        <f aca="false">IFERROR(K32/J32,0)</f>
        <v>0.849141037037037</v>
      </c>
      <c r="M32" s="8" t="n">
        <f aca="false">IFERROR(J32/H32-1,0)</f>
        <v>0.563437648981545</v>
      </c>
      <c r="N32" s="9" t="n">
        <f aca="false">K32-J32</f>
        <v>-7128086</v>
      </c>
      <c r="O32" s="9" t="n">
        <f aca="false">MAX(N32,0)</f>
        <v>0</v>
      </c>
      <c r="P32" s="9" t="n">
        <f aca="false">MIN(N32,0)</f>
        <v>-7128086</v>
      </c>
      <c r="Q32" s="8" t="n">
        <f aca="false">ROUND(L32,2)</f>
        <v>0.85</v>
      </c>
    </row>
    <row r="33" customFormat="false" ht="15" hidden="false" customHeight="false" outlineLevel="0" collapsed="false">
      <c r="A33" s="5" t="n">
        <v>29</v>
      </c>
      <c r="B33" s="6" t="s">
        <v>19</v>
      </c>
      <c r="C33" s="5" t="n">
        <v>129</v>
      </c>
      <c r="D33" s="6" t="s">
        <v>56</v>
      </c>
      <c r="E33" s="5" t="s">
        <v>27</v>
      </c>
      <c r="F33" s="5" t="s">
        <v>28</v>
      </c>
      <c r="G33" s="7" t="n">
        <v>53820000</v>
      </c>
      <c r="H33" s="7" t="n">
        <v>49886866</v>
      </c>
      <c r="I33" s="8" t="n">
        <f aca="false">IFERROR(H33/G33,0)</f>
        <v>0.926920587142326</v>
      </c>
      <c r="J33" s="9" t="n">
        <v>59980000</v>
      </c>
      <c r="K33" s="9" t="n">
        <v>52270476</v>
      </c>
      <c r="L33" s="8" t="n">
        <f aca="false">IFERROR(K33/J33,0)</f>
        <v>0.871465088362788</v>
      </c>
      <c r="M33" s="8" t="n">
        <f aca="false">IFERROR(J33/H33-1,0)</f>
        <v>0.202320466473079</v>
      </c>
      <c r="N33" s="9" t="n">
        <f aca="false">K33-J33</f>
        <v>-7709524</v>
      </c>
      <c r="O33" s="9" t="n">
        <f aca="false">MAX(N33,0)</f>
        <v>0</v>
      </c>
      <c r="P33" s="9" t="n">
        <f aca="false">MIN(N33,0)</f>
        <v>-7709524</v>
      </c>
      <c r="Q33" s="8" t="n">
        <f aca="false">ROUND(L33,2)</f>
        <v>0.87</v>
      </c>
    </row>
    <row r="34" customFormat="false" ht="15" hidden="false" customHeight="false" outlineLevel="0" collapsed="false">
      <c r="A34" s="5" t="n">
        <v>30</v>
      </c>
      <c r="B34" s="6" t="s">
        <v>19</v>
      </c>
      <c r="C34" s="5" t="n">
        <v>130</v>
      </c>
      <c r="D34" s="6" t="s">
        <v>57</v>
      </c>
      <c r="E34" s="5" t="s">
        <v>30</v>
      </c>
      <c r="F34" s="5" t="s">
        <v>25</v>
      </c>
      <c r="G34" s="7" t="n">
        <v>40350000</v>
      </c>
      <c r="H34" s="7" t="n">
        <v>30860449</v>
      </c>
      <c r="I34" s="8" t="n">
        <f aca="false">IFERROR(H34/G34,0)</f>
        <v>0.764819058240397</v>
      </c>
      <c r="J34" s="9" t="n">
        <v>47410000</v>
      </c>
      <c r="K34" s="9" t="n">
        <v>35284802</v>
      </c>
      <c r="L34" s="8" t="n">
        <f aca="false">IFERROR(K34/J34,0)</f>
        <v>0.744248091120017</v>
      </c>
      <c r="M34" s="8" t="n">
        <f aca="false">IFERROR(J34/H34-1,0)</f>
        <v>0.536270583749446</v>
      </c>
      <c r="N34" s="9" t="n">
        <f aca="false">K34-J34</f>
        <v>-12125198</v>
      </c>
      <c r="O34" s="9" t="n">
        <f aca="false">MAX(N34,0)</f>
        <v>0</v>
      </c>
      <c r="P34" s="9" t="n">
        <f aca="false">MIN(N34,0)</f>
        <v>-12125198</v>
      </c>
      <c r="Q34" s="8" t="n">
        <f aca="false">ROUND(L34,2)</f>
        <v>0.74</v>
      </c>
    </row>
    <row r="35" customFormat="false" ht="15" hidden="false" customHeight="false" outlineLevel="0" collapsed="false">
      <c r="A35" s="5" t="n">
        <v>31</v>
      </c>
      <c r="B35" s="6" t="s">
        <v>19</v>
      </c>
      <c r="C35" s="5" t="n">
        <v>132</v>
      </c>
      <c r="D35" s="6" t="s">
        <v>58</v>
      </c>
      <c r="E35" s="5" t="s">
        <v>27</v>
      </c>
      <c r="F35" s="5" t="s">
        <v>28</v>
      </c>
      <c r="G35" s="7" t="n">
        <v>21970000</v>
      </c>
      <c r="H35" s="7" t="n">
        <v>20874489</v>
      </c>
      <c r="I35" s="8" t="n">
        <f aca="false">IFERROR(H35/G35,0)</f>
        <v>0.950136049157943</v>
      </c>
      <c r="J35" s="9" t="n">
        <v>24640000</v>
      </c>
      <c r="K35" s="9" t="n">
        <v>24377025</v>
      </c>
      <c r="L35" s="8" t="n">
        <f aca="false">IFERROR(K35/J35,0)</f>
        <v>0.989327313311688</v>
      </c>
      <c r="M35" s="8" t="n">
        <f aca="false">IFERROR(J35/H35-1,0)</f>
        <v>0.180388176208768</v>
      </c>
      <c r="N35" s="9" t="n">
        <f aca="false">K35-J35</f>
        <v>-262975</v>
      </c>
      <c r="O35" s="9" t="n">
        <f aca="false">MAX(N35,0)</f>
        <v>0</v>
      </c>
      <c r="P35" s="9" t="n">
        <f aca="false">MIN(N35,0)</f>
        <v>-262975</v>
      </c>
      <c r="Q35" s="8" t="n">
        <f aca="false">ROUND(L35,2)</f>
        <v>0.99</v>
      </c>
    </row>
    <row r="36" customFormat="false" ht="15" hidden="false" customHeight="false" outlineLevel="0" collapsed="false">
      <c r="A36" s="5" t="n">
        <v>32</v>
      </c>
      <c r="B36" s="6" t="s">
        <v>19</v>
      </c>
      <c r="C36" s="5" t="n">
        <v>133</v>
      </c>
      <c r="D36" s="6" t="s">
        <v>59</v>
      </c>
      <c r="E36" s="5" t="s">
        <v>24</v>
      </c>
      <c r="F36" s="5" t="s">
        <v>25</v>
      </c>
      <c r="G36" s="7" t="n">
        <v>41960000</v>
      </c>
      <c r="H36" s="7" t="n">
        <v>21935858</v>
      </c>
      <c r="I36" s="8" t="n">
        <f aca="false">IFERROR(H36/G36,0)</f>
        <v>0.522780219256435</v>
      </c>
      <c r="J36" s="9" t="n">
        <v>50840000</v>
      </c>
      <c r="K36" s="9" t="n">
        <v>36160101</v>
      </c>
      <c r="L36" s="8" t="n">
        <f aca="false">IFERROR(K36/J36,0)</f>
        <v>0.711252970102282</v>
      </c>
      <c r="M36" s="8" t="n">
        <f aca="false">IFERROR(J36/H36-1,0)</f>
        <v>1.3176663525083</v>
      </c>
      <c r="N36" s="9" t="n">
        <f aca="false">K36-J36</f>
        <v>-14679899</v>
      </c>
      <c r="O36" s="9" t="n">
        <f aca="false">MAX(N36,0)</f>
        <v>0</v>
      </c>
      <c r="P36" s="9" t="n">
        <f aca="false">MIN(N36,0)</f>
        <v>-14679899</v>
      </c>
      <c r="Q36" s="8" t="n">
        <f aca="false">ROUND(L36,2)</f>
        <v>0.71</v>
      </c>
    </row>
    <row r="37" customFormat="false" ht="15" hidden="false" customHeight="false" outlineLevel="0" collapsed="false">
      <c r="A37" s="5" t="n">
        <v>33</v>
      </c>
      <c r="B37" s="6" t="s">
        <v>60</v>
      </c>
      <c r="C37" s="5" t="n">
        <v>134</v>
      </c>
      <c r="D37" s="6" t="s">
        <v>61</v>
      </c>
      <c r="E37" s="5" t="s">
        <v>24</v>
      </c>
      <c r="F37" s="5" t="s">
        <v>28</v>
      </c>
      <c r="G37" s="7" t="n">
        <v>62670000</v>
      </c>
      <c r="H37" s="7" t="n">
        <v>45793040</v>
      </c>
      <c r="I37" s="8" t="n">
        <f aca="false">IFERROR(H37/G37,0)</f>
        <v>0.730701132918462</v>
      </c>
      <c r="J37" s="9" t="n">
        <v>75830000</v>
      </c>
      <c r="K37" s="9" t="n">
        <v>61784257</v>
      </c>
      <c r="L37" s="8" t="n">
        <f aca="false">IFERROR(K37/J37,0)</f>
        <v>0.814773269154688</v>
      </c>
      <c r="M37" s="8" t="n">
        <f aca="false">IFERROR(J37/H37-1,0)</f>
        <v>0.655928499178041</v>
      </c>
      <c r="N37" s="9" t="n">
        <f aca="false">K37-J37</f>
        <v>-14045743</v>
      </c>
      <c r="O37" s="9" t="n">
        <f aca="false">MAX(N37,0)</f>
        <v>0</v>
      </c>
      <c r="P37" s="9" t="n">
        <f aca="false">MIN(N37,0)</f>
        <v>-14045743</v>
      </c>
      <c r="Q37" s="8" t="n">
        <f aca="false">ROUND(L37,2)</f>
        <v>0.81</v>
      </c>
    </row>
    <row r="38" customFormat="false" ht="15" hidden="false" customHeight="false" outlineLevel="0" collapsed="false">
      <c r="A38" s="5" t="n">
        <v>34</v>
      </c>
      <c r="B38" s="6" t="s">
        <v>19</v>
      </c>
      <c r="C38" s="5" t="n">
        <v>136</v>
      </c>
      <c r="D38" s="6" t="s">
        <v>62</v>
      </c>
      <c r="E38" s="5" t="s">
        <v>38</v>
      </c>
      <c r="F38" s="5" t="s">
        <v>22</v>
      </c>
      <c r="G38" s="7" t="n">
        <v>24950000</v>
      </c>
      <c r="H38" s="7" t="n">
        <v>38658779</v>
      </c>
      <c r="I38" s="8" t="n">
        <f aca="false">IFERROR(H38/G38,0)</f>
        <v>1.54945006012024</v>
      </c>
      <c r="J38" s="9" t="n">
        <v>34730000</v>
      </c>
      <c r="K38" s="9" t="n">
        <v>49654913</v>
      </c>
      <c r="L38" s="8" t="n">
        <f aca="false">IFERROR(K38/J38,0)</f>
        <v>1.42974123236395</v>
      </c>
      <c r="M38" s="8" t="n">
        <f aca="false">IFERROR(J38/H38-1,0)</f>
        <v>-0.101627084497418</v>
      </c>
      <c r="N38" s="9" t="n">
        <f aca="false">K38-J38</f>
        <v>14924913</v>
      </c>
      <c r="O38" s="9" t="n">
        <f aca="false">MAX(N38,0)</f>
        <v>14924913</v>
      </c>
      <c r="P38" s="9" t="n">
        <f aca="false">MIN(N38,0)</f>
        <v>0</v>
      </c>
      <c r="Q38" s="8" t="n">
        <f aca="false">ROUND(L38,2)</f>
        <v>1.43</v>
      </c>
    </row>
    <row r="39" customFormat="false" ht="15" hidden="false" customHeight="false" outlineLevel="0" collapsed="false">
      <c r="A39" s="5" t="n">
        <v>35</v>
      </c>
      <c r="B39" s="6" t="s">
        <v>60</v>
      </c>
      <c r="C39" s="5" t="n">
        <v>137</v>
      </c>
      <c r="D39" s="6" t="s">
        <v>63</v>
      </c>
      <c r="E39" s="5" t="s">
        <v>28</v>
      </c>
      <c r="F39" s="5" t="s">
        <v>22</v>
      </c>
      <c r="G39" s="7" t="n">
        <v>37670000</v>
      </c>
      <c r="H39" s="7" t="n">
        <v>43280289</v>
      </c>
      <c r="I39" s="8" t="n">
        <f aca="false">IFERROR(H39/G39,0)</f>
        <v>1.14893254579241</v>
      </c>
      <c r="J39" s="9" t="n">
        <v>47080000</v>
      </c>
      <c r="K39" s="9" t="n">
        <v>61003844</v>
      </c>
      <c r="L39" s="8" t="n">
        <f aca="false">IFERROR(K39/J39,0)</f>
        <v>1.29574859813084</v>
      </c>
      <c r="M39" s="8" t="n">
        <f aca="false">IFERROR(J39/H39-1,0)</f>
        <v>0.0877931060025963</v>
      </c>
      <c r="N39" s="9" t="n">
        <f aca="false">K39-J39</f>
        <v>13923844</v>
      </c>
      <c r="O39" s="9" t="n">
        <f aca="false">MAX(N39,0)</f>
        <v>13923844</v>
      </c>
      <c r="P39" s="9" t="n">
        <f aca="false">MIN(N39,0)</f>
        <v>0</v>
      </c>
      <c r="Q39" s="8" t="n">
        <f aca="false">ROUND(L39,2)</f>
        <v>1.3</v>
      </c>
    </row>
    <row r="40" customFormat="false" ht="15" hidden="false" customHeight="false" outlineLevel="0" collapsed="false">
      <c r="A40" s="5" t="n">
        <v>36</v>
      </c>
      <c r="B40" s="6" t="s">
        <v>60</v>
      </c>
      <c r="C40" s="5" t="n">
        <v>143</v>
      </c>
      <c r="D40" s="6" t="s">
        <v>64</v>
      </c>
      <c r="E40" s="5" t="s">
        <v>28</v>
      </c>
      <c r="F40" s="5" t="s">
        <v>21</v>
      </c>
      <c r="G40" s="7" t="n">
        <v>35820000</v>
      </c>
      <c r="H40" s="7" t="n">
        <v>41474087</v>
      </c>
      <c r="I40" s="8" t="n">
        <f aca="false">IFERROR(H40/G40,0)</f>
        <v>1.15784720826354</v>
      </c>
      <c r="J40" s="9" t="n">
        <v>41160000</v>
      </c>
      <c r="K40" s="9" t="n">
        <v>44219159</v>
      </c>
      <c r="L40" s="8" t="n">
        <f aca="false">IFERROR(K40/J40,0)</f>
        <v>1.07432359086492</v>
      </c>
      <c r="M40" s="8" t="n">
        <f aca="false">IFERROR(J40/H40-1,0)</f>
        <v>-0.00757309015627039</v>
      </c>
      <c r="N40" s="9" t="n">
        <f aca="false">K40-J40</f>
        <v>3059159</v>
      </c>
      <c r="O40" s="9" t="n">
        <f aca="false">MAX(N40,0)</f>
        <v>3059159</v>
      </c>
      <c r="P40" s="9" t="n">
        <f aca="false">MIN(N40,0)</f>
        <v>0</v>
      </c>
      <c r="Q40" s="8" t="n">
        <f aca="false">ROUND(L40,2)</f>
        <v>1.07</v>
      </c>
    </row>
    <row r="41" customFormat="false" ht="15" hidden="false" customHeight="false" outlineLevel="0" collapsed="false">
      <c r="A41" s="5" t="n">
        <v>37</v>
      </c>
      <c r="B41" s="6" t="s">
        <v>19</v>
      </c>
      <c r="C41" s="5" t="n">
        <v>145</v>
      </c>
      <c r="D41" s="6" t="s">
        <v>65</v>
      </c>
      <c r="E41" s="5" t="s">
        <v>24</v>
      </c>
      <c r="F41" s="5" t="s">
        <v>22</v>
      </c>
      <c r="G41" s="7" t="n">
        <v>25810000</v>
      </c>
      <c r="H41" s="7" t="n">
        <v>18365887</v>
      </c>
      <c r="I41" s="8" t="n">
        <f aca="false">IFERROR(H41/G41,0)</f>
        <v>0.711580278961643</v>
      </c>
      <c r="J41" s="9" t="n">
        <v>31970000</v>
      </c>
      <c r="K41" s="9" t="n">
        <v>43235636</v>
      </c>
      <c r="L41" s="8" t="n">
        <f aca="false">IFERROR(K41/J41,0)</f>
        <v>1.35238148263998</v>
      </c>
      <c r="M41" s="8" t="n">
        <f aca="false">IFERROR(J41/H41-1,0)</f>
        <v>0.74072725156155</v>
      </c>
      <c r="N41" s="9" t="n">
        <f aca="false">K41-J41</f>
        <v>11265636</v>
      </c>
      <c r="O41" s="9" t="n">
        <f aca="false">MAX(N41,0)</f>
        <v>11265636</v>
      </c>
      <c r="P41" s="9" t="n">
        <f aca="false">MIN(N41,0)</f>
        <v>0</v>
      </c>
      <c r="Q41" s="8" t="n">
        <f aca="false">ROUND(L41,2)</f>
        <v>1.35</v>
      </c>
    </row>
    <row r="42" customFormat="false" ht="15" hidden="false" customHeight="false" outlineLevel="0" collapsed="false">
      <c r="A42" s="5" t="n">
        <v>38</v>
      </c>
      <c r="B42" s="6" t="s">
        <v>19</v>
      </c>
      <c r="C42" s="5" t="n">
        <v>147</v>
      </c>
      <c r="D42" s="6" t="s">
        <v>66</v>
      </c>
      <c r="E42" s="5" t="s">
        <v>30</v>
      </c>
      <c r="F42" s="5" t="s">
        <v>21</v>
      </c>
      <c r="G42" s="7" t="n">
        <v>56680000</v>
      </c>
      <c r="H42" s="7" t="n">
        <v>42517064</v>
      </c>
      <c r="I42" s="8" t="n">
        <f aca="false">IFERROR(H42/G42,0)</f>
        <v>0.750124629498941</v>
      </c>
      <c r="J42" s="9" t="n">
        <v>66300000</v>
      </c>
      <c r="K42" s="9" t="n">
        <v>77955723</v>
      </c>
      <c r="L42" s="8" t="n">
        <f aca="false">IFERROR(K42/J42,0)</f>
        <v>1.175802760181</v>
      </c>
      <c r="M42" s="8" t="n">
        <f aca="false">IFERROR(J42/H42-1,0)</f>
        <v>0.559373902205477</v>
      </c>
      <c r="N42" s="9" t="n">
        <f aca="false">K42-J42</f>
        <v>11655723</v>
      </c>
      <c r="O42" s="9" t="n">
        <f aca="false">MAX(N42,0)</f>
        <v>11655723</v>
      </c>
      <c r="P42" s="9" t="n">
        <f aca="false">MIN(N42,0)</f>
        <v>0</v>
      </c>
      <c r="Q42" s="8" t="n">
        <f aca="false">ROUND(L42,2)</f>
        <v>1.18</v>
      </c>
    </row>
    <row r="43" customFormat="false" ht="15" hidden="false" customHeight="false" outlineLevel="0" collapsed="false">
      <c r="A43" s="5" t="n">
        <v>39</v>
      </c>
      <c r="B43" s="6" t="s">
        <v>19</v>
      </c>
      <c r="C43" s="5" t="n">
        <v>148</v>
      </c>
      <c r="D43" s="6" t="s">
        <v>67</v>
      </c>
      <c r="E43" s="5" t="s">
        <v>30</v>
      </c>
      <c r="F43" s="5" t="s">
        <v>28</v>
      </c>
      <c r="G43" s="7" t="n">
        <v>38130000</v>
      </c>
      <c r="H43" s="7" t="n">
        <v>31829672</v>
      </c>
      <c r="I43" s="8" t="n">
        <f aca="false">IFERROR(H43/G43,0)</f>
        <v>0.834767164961972</v>
      </c>
      <c r="J43" s="9" t="n">
        <v>44260000</v>
      </c>
      <c r="K43" s="9" t="n">
        <v>37388217</v>
      </c>
      <c r="L43" s="8" t="n">
        <f aca="false">IFERROR(K43/J43,0)</f>
        <v>0.844740555806597</v>
      </c>
      <c r="M43" s="8" t="n">
        <f aca="false">IFERROR(J43/H43-1,0)</f>
        <v>0.390526424526147</v>
      </c>
      <c r="N43" s="9" t="n">
        <f aca="false">K43-J43</f>
        <v>-6871783</v>
      </c>
      <c r="O43" s="9" t="n">
        <f aca="false">MAX(N43,0)</f>
        <v>0</v>
      </c>
      <c r="P43" s="9" t="n">
        <f aca="false">MIN(N43,0)</f>
        <v>-6871783</v>
      </c>
      <c r="Q43" s="8" t="n">
        <f aca="false">ROUND(L43,2)</f>
        <v>0.84</v>
      </c>
    </row>
    <row r="44" customFormat="false" ht="15" hidden="false" customHeight="false" outlineLevel="0" collapsed="false">
      <c r="A44" s="5" t="n">
        <v>40</v>
      </c>
      <c r="B44" s="6" t="s">
        <v>19</v>
      </c>
      <c r="C44" s="5" t="n">
        <v>149</v>
      </c>
      <c r="D44" s="6" t="s">
        <v>68</v>
      </c>
      <c r="E44" s="5" t="s">
        <v>30</v>
      </c>
      <c r="F44" s="5" t="s">
        <v>21</v>
      </c>
      <c r="G44" s="7" t="n">
        <v>53280000</v>
      </c>
      <c r="H44" s="7" t="n">
        <v>40194251</v>
      </c>
      <c r="I44" s="8" t="n">
        <f aca="false">IFERROR(H44/G44,0)</f>
        <v>0.754396602852853</v>
      </c>
      <c r="J44" s="9" t="n">
        <v>61940000</v>
      </c>
      <c r="K44" s="9" t="n">
        <v>62694255</v>
      </c>
      <c r="L44" s="8" t="n">
        <f aca="false">IFERROR(K44/J44,0)</f>
        <v>1.0121771876009</v>
      </c>
      <c r="M44" s="8" t="n">
        <f aca="false">IFERROR(J44/H44-1,0)</f>
        <v>0.541016400579277</v>
      </c>
      <c r="N44" s="9" t="n">
        <f aca="false">K44-J44</f>
        <v>754255</v>
      </c>
      <c r="O44" s="9" t="n">
        <f aca="false">MAX(N44,0)</f>
        <v>754255</v>
      </c>
      <c r="P44" s="9" t="n">
        <f aca="false">MIN(N44,0)</f>
        <v>0</v>
      </c>
      <c r="Q44" s="8" t="n">
        <f aca="false">ROUND(L44,2)</f>
        <v>1.01</v>
      </c>
    </row>
    <row r="45" customFormat="false" ht="15" hidden="false" customHeight="false" outlineLevel="0" collapsed="false">
      <c r="A45" s="5" t="n">
        <v>41</v>
      </c>
      <c r="B45" s="6" t="s">
        <v>60</v>
      </c>
      <c r="C45" s="5" t="n">
        <v>151</v>
      </c>
      <c r="D45" s="6" t="s">
        <v>69</v>
      </c>
      <c r="E45" s="5" t="s">
        <v>22</v>
      </c>
      <c r="F45" s="5" t="s">
        <v>21</v>
      </c>
      <c r="G45" s="7" t="n">
        <v>64790000</v>
      </c>
      <c r="H45" s="7" t="n">
        <v>87111400</v>
      </c>
      <c r="I45" s="8" t="n">
        <f aca="false">IFERROR(H45/G45,0)</f>
        <v>1.34451921592838</v>
      </c>
      <c r="J45" s="9" t="n">
        <v>82620000</v>
      </c>
      <c r="K45" s="9" t="n">
        <v>94209278</v>
      </c>
      <c r="L45" s="8" t="n">
        <f aca="false">IFERROR(K45/J45,0)</f>
        <v>1.14027206487533</v>
      </c>
      <c r="M45" s="8" t="n">
        <f aca="false">IFERROR(J45/H45-1,0)</f>
        <v>-0.0515592677881426</v>
      </c>
      <c r="N45" s="9" t="n">
        <f aca="false">K45-J45</f>
        <v>11589278</v>
      </c>
      <c r="O45" s="9" t="n">
        <f aca="false">MAX(N45,0)</f>
        <v>11589278</v>
      </c>
      <c r="P45" s="9" t="n">
        <f aca="false">MIN(N45,0)</f>
        <v>0</v>
      </c>
      <c r="Q45" s="8" t="n">
        <f aca="false">ROUND(L45,2)</f>
        <v>1.14</v>
      </c>
    </row>
    <row r="46" customFormat="false" ht="15" hidden="false" customHeight="false" outlineLevel="0" collapsed="false">
      <c r="A46" s="5" t="n">
        <v>42</v>
      </c>
      <c r="B46" s="6" t="s">
        <v>19</v>
      </c>
      <c r="C46" s="5" t="n">
        <v>152</v>
      </c>
      <c r="D46" s="6" t="s">
        <v>70</v>
      </c>
      <c r="E46" s="5" t="s">
        <v>30</v>
      </c>
      <c r="F46" s="5" t="s">
        <v>28</v>
      </c>
      <c r="G46" s="7" t="n">
        <v>65710000</v>
      </c>
      <c r="H46" s="7" t="n">
        <v>55160720</v>
      </c>
      <c r="I46" s="8" t="n">
        <f aca="false">IFERROR(H46/G46,0)</f>
        <v>0.839457008065743</v>
      </c>
      <c r="J46" s="9" t="n">
        <v>76730000</v>
      </c>
      <c r="K46" s="9" t="n">
        <v>61112664</v>
      </c>
      <c r="L46" s="8" t="n">
        <f aca="false">IFERROR(K46/J46,0)</f>
        <v>0.796463756027629</v>
      </c>
      <c r="M46" s="8" t="n">
        <f aca="false">IFERROR(J46/H46-1,0)</f>
        <v>0.391026077977227</v>
      </c>
      <c r="N46" s="9" t="n">
        <f aca="false">K46-J46</f>
        <v>-15617336</v>
      </c>
      <c r="O46" s="9" t="n">
        <f aca="false">MAX(N46,0)</f>
        <v>0</v>
      </c>
      <c r="P46" s="9" t="n">
        <f aca="false">MIN(N46,0)</f>
        <v>-15617336</v>
      </c>
      <c r="Q46" s="8" t="n">
        <f aca="false">ROUND(L46,2)</f>
        <v>0.8</v>
      </c>
    </row>
    <row r="47" customFormat="false" ht="15" hidden="false" customHeight="false" outlineLevel="0" collapsed="false">
      <c r="A47" s="5" t="n">
        <v>43</v>
      </c>
      <c r="B47" s="6" t="s">
        <v>19</v>
      </c>
      <c r="C47" s="5" t="n">
        <v>153</v>
      </c>
      <c r="D47" s="6" t="s">
        <v>71</v>
      </c>
      <c r="E47" s="5" t="s">
        <v>27</v>
      </c>
      <c r="F47" s="5" t="s">
        <v>22</v>
      </c>
      <c r="G47" s="7" t="n">
        <v>63330000</v>
      </c>
      <c r="H47" s="7" t="n">
        <v>56908013</v>
      </c>
      <c r="I47" s="8" t="n">
        <f aca="false">IFERROR(H47/G47,0)</f>
        <v>0.898594868150955</v>
      </c>
      <c r="J47" s="9" t="n">
        <v>70340000</v>
      </c>
      <c r="K47" s="9" t="n">
        <v>91287215</v>
      </c>
      <c r="L47" s="8" t="n">
        <f aca="false">IFERROR(K47/J47,0)</f>
        <v>1.29779947398351</v>
      </c>
      <c r="M47" s="8" t="n">
        <f aca="false">IFERROR(J47/H47-1,0)</f>
        <v>0.236029801286508</v>
      </c>
      <c r="N47" s="9" t="n">
        <f aca="false">K47-J47</f>
        <v>20947215</v>
      </c>
      <c r="O47" s="9" t="n">
        <f aca="false">MAX(N47,0)</f>
        <v>20947215</v>
      </c>
      <c r="P47" s="9" t="n">
        <f aca="false">MIN(N47,0)</f>
        <v>0</v>
      </c>
      <c r="Q47" s="8" t="n">
        <f aca="false">ROUND(L47,2)</f>
        <v>1.3</v>
      </c>
    </row>
    <row r="48" customFormat="false" ht="15" hidden="false" customHeight="false" outlineLevel="0" collapsed="false">
      <c r="A48" s="5" t="n">
        <v>44</v>
      </c>
      <c r="B48" s="6" t="s">
        <v>19</v>
      </c>
      <c r="C48" s="5" t="n">
        <v>154</v>
      </c>
      <c r="D48" s="6" t="s">
        <v>72</v>
      </c>
      <c r="E48" s="5" t="s">
        <v>24</v>
      </c>
      <c r="F48" s="5" t="s">
        <v>22</v>
      </c>
      <c r="G48" s="7" t="n">
        <v>31450000</v>
      </c>
      <c r="H48" s="7" t="n">
        <v>22877391</v>
      </c>
      <c r="I48" s="8" t="n">
        <f aca="false">IFERROR(H48/G48,0)</f>
        <v>0.727421017488076</v>
      </c>
      <c r="J48" s="9" t="n">
        <v>38300000</v>
      </c>
      <c r="K48" s="9" t="n">
        <v>49686844</v>
      </c>
      <c r="L48" s="8" t="n">
        <f aca="false">IFERROR(K48/J48,0)</f>
        <v>1.29730663185379</v>
      </c>
      <c r="M48" s="8" t="n">
        <f aca="false">IFERROR(J48/H48-1,0)</f>
        <v>0.674141950889417</v>
      </c>
      <c r="N48" s="9" t="n">
        <f aca="false">K48-J48</f>
        <v>11386844</v>
      </c>
      <c r="O48" s="9" t="n">
        <f aca="false">MAX(N48,0)</f>
        <v>11386844</v>
      </c>
      <c r="P48" s="9" t="n">
        <f aca="false">MIN(N48,0)</f>
        <v>0</v>
      </c>
      <c r="Q48" s="8" t="n">
        <f aca="false">ROUND(L48,2)</f>
        <v>1.3</v>
      </c>
    </row>
    <row r="49" customFormat="false" ht="15" hidden="false" customHeight="false" outlineLevel="0" collapsed="false">
      <c r="A49" s="5" t="n">
        <v>45</v>
      </c>
      <c r="B49" s="6" t="s">
        <v>19</v>
      </c>
      <c r="C49" s="5" t="n">
        <v>156</v>
      </c>
      <c r="D49" s="6" t="s">
        <v>73</v>
      </c>
      <c r="E49" s="5" t="s">
        <v>30</v>
      </c>
      <c r="F49" s="5" t="s">
        <v>28</v>
      </c>
      <c r="G49" s="7" t="n">
        <v>43730000</v>
      </c>
      <c r="H49" s="7" t="n">
        <v>35578463</v>
      </c>
      <c r="I49" s="8" t="n">
        <f aca="false">IFERROR(H49/G49,0)</f>
        <v>0.813593940086897</v>
      </c>
      <c r="J49" s="9" t="n">
        <v>50930000</v>
      </c>
      <c r="K49" s="9" t="n">
        <v>48887128</v>
      </c>
      <c r="L49" s="8" t="n">
        <f aca="false">IFERROR(K49/J49,0)</f>
        <v>0.959888631454938</v>
      </c>
      <c r="M49" s="8" t="n">
        <f aca="false">IFERROR(J49/H49-1,0)</f>
        <v>0.431483985128869</v>
      </c>
      <c r="N49" s="9" t="n">
        <f aca="false">K49-J49</f>
        <v>-2042872</v>
      </c>
      <c r="O49" s="9" t="n">
        <f aca="false">MAX(N49,0)</f>
        <v>0</v>
      </c>
      <c r="P49" s="9" t="n">
        <f aca="false">MIN(N49,0)</f>
        <v>-2042872</v>
      </c>
      <c r="Q49" s="8" t="n">
        <f aca="false">ROUND(L49,2)</f>
        <v>0.96</v>
      </c>
    </row>
    <row r="50" customFormat="false" ht="15" hidden="false" customHeight="false" outlineLevel="0" collapsed="false">
      <c r="A50" s="5" t="n">
        <v>46</v>
      </c>
      <c r="B50" s="6" t="s">
        <v>19</v>
      </c>
      <c r="C50" s="5" t="n">
        <v>157</v>
      </c>
      <c r="D50" s="6" t="s">
        <v>74</v>
      </c>
      <c r="E50" s="5" t="s">
        <v>30</v>
      </c>
      <c r="F50" s="5" t="s">
        <v>21</v>
      </c>
      <c r="G50" s="7" t="n">
        <v>31710000</v>
      </c>
      <c r="H50" s="7" t="n">
        <v>25268571</v>
      </c>
      <c r="I50" s="8" t="n">
        <f aca="false">IFERROR(H50/G50,0)</f>
        <v>0.796864427625355</v>
      </c>
      <c r="J50" s="9" t="n">
        <v>37520000</v>
      </c>
      <c r="K50" s="9" t="n">
        <v>37642448</v>
      </c>
      <c r="L50" s="8" t="n">
        <f aca="false">IFERROR(K50/J50,0)</f>
        <v>1.00326353944563</v>
      </c>
      <c r="M50" s="8" t="n">
        <f aca="false">IFERROR(J50/H50-1,0)</f>
        <v>0.484848510032483</v>
      </c>
      <c r="N50" s="9" t="n">
        <f aca="false">K50-J50</f>
        <v>122448</v>
      </c>
      <c r="O50" s="9" t="n">
        <f aca="false">MAX(N50,0)</f>
        <v>122448</v>
      </c>
      <c r="P50" s="9" t="n">
        <f aca="false">MIN(N50,0)</f>
        <v>0</v>
      </c>
      <c r="Q50" s="8" t="n">
        <f aca="false">ROUND(L50,2)</f>
        <v>1</v>
      </c>
    </row>
    <row r="51" customFormat="false" ht="15" hidden="false" customHeight="false" outlineLevel="0" collapsed="false">
      <c r="A51" s="5" t="n">
        <v>47</v>
      </c>
      <c r="B51" s="6" t="s">
        <v>60</v>
      </c>
      <c r="C51" s="5" t="n">
        <v>158</v>
      </c>
      <c r="D51" s="6" t="s">
        <v>75</v>
      </c>
      <c r="E51" s="5" t="s">
        <v>27</v>
      </c>
      <c r="F51" s="5" t="s">
        <v>21</v>
      </c>
      <c r="G51" s="7" t="n">
        <v>59350000</v>
      </c>
      <c r="H51" s="7" t="n">
        <v>58750655</v>
      </c>
      <c r="I51" s="8" t="n">
        <f aca="false">IFERROR(H51/G51,0)</f>
        <v>0.98990151642797</v>
      </c>
      <c r="J51" s="9" t="n">
        <v>66080000</v>
      </c>
      <c r="K51" s="9" t="n">
        <v>76700670</v>
      </c>
      <c r="L51" s="8" t="n">
        <f aca="false">IFERROR(K51/J51,0)</f>
        <v>1.16072442493947</v>
      </c>
      <c r="M51" s="8" t="n">
        <f aca="false">IFERROR(J51/H51-1,0)</f>
        <v>0.124753417642748</v>
      </c>
      <c r="N51" s="9" t="n">
        <f aca="false">K51-J51</f>
        <v>10620670</v>
      </c>
      <c r="O51" s="9" t="n">
        <f aca="false">MAX(N51,0)</f>
        <v>10620670</v>
      </c>
      <c r="P51" s="9" t="n">
        <f aca="false">MIN(N51,0)</f>
        <v>0</v>
      </c>
      <c r="Q51" s="8" t="n">
        <f aca="false">ROUND(L51,2)</f>
        <v>1.16</v>
      </c>
    </row>
    <row r="52" customFormat="false" ht="15" hidden="false" customHeight="false" outlineLevel="0" collapsed="false">
      <c r="A52" s="5" t="n">
        <v>48</v>
      </c>
      <c r="B52" s="6" t="s">
        <v>60</v>
      </c>
      <c r="C52" s="5" t="n">
        <v>159</v>
      </c>
      <c r="D52" s="6" t="s">
        <v>76</v>
      </c>
      <c r="E52" s="5" t="s">
        <v>22</v>
      </c>
      <c r="F52" s="5" t="s">
        <v>22</v>
      </c>
      <c r="G52" s="7" t="n">
        <v>95530000</v>
      </c>
      <c r="H52" s="7" t="n">
        <v>129625392</v>
      </c>
      <c r="I52" s="8" t="n">
        <f aca="false">IFERROR(H52/G52,0)</f>
        <v>1.35690769391814</v>
      </c>
      <c r="J52" s="9" t="n">
        <v>118930000</v>
      </c>
      <c r="K52" s="9" t="n">
        <v>145784243</v>
      </c>
      <c r="L52" s="8" t="n">
        <f aca="false">IFERROR(K52/J52,0)</f>
        <v>1.22579873034558</v>
      </c>
      <c r="M52" s="8" t="n">
        <f aca="false">IFERROR(J52/H52-1,0)</f>
        <v>-0.0825100069899886</v>
      </c>
      <c r="N52" s="9" t="n">
        <f aca="false">K52-J52</f>
        <v>26854243</v>
      </c>
      <c r="O52" s="9" t="n">
        <f aca="false">MAX(N52,0)</f>
        <v>26854243</v>
      </c>
      <c r="P52" s="9" t="n">
        <f aca="false">MIN(N52,0)</f>
        <v>0</v>
      </c>
      <c r="Q52" s="8" t="n">
        <f aca="false">ROUND(L52,2)</f>
        <v>1.23</v>
      </c>
    </row>
    <row r="53" customFormat="false" ht="15" hidden="false" customHeight="false" outlineLevel="0" collapsed="false">
      <c r="A53" s="5" t="n">
        <v>49</v>
      </c>
      <c r="B53" s="6" t="s">
        <v>60</v>
      </c>
      <c r="C53" s="5" t="n">
        <v>160</v>
      </c>
      <c r="D53" s="6" t="s">
        <v>77</v>
      </c>
      <c r="E53" s="5" t="s">
        <v>21</v>
      </c>
      <c r="F53" s="5" t="s">
        <v>22</v>
      </c>
      <c r="G53" s="7" t="n">
        <v>60960000</v>
      </c>
      <c r="H53" s="7" t="n">
        <v>75663828</v>
      </c>
      <c r="I53" s="8" t="n">
        <f aca="false">IFERROR(H53/G53,0)</f>
        <v>1.24120452755906</v>
      </c>
      <c r="J53" s="9" t="n">
        <v>79980000</v>
      </c>
      <c r="K53" s="9" t="n">
        <v>104246307</v>
      </c>
      <c r="L53" s="8" t="n">
        <f aca="false">IFERROR(K53/J53,0)</f>
        <v>1.30340468867217</v>
      </c>
      <c r="M53" s="8" t="n">
        <f aca="false">IFERROR(J53/H53-1,0)</f>
        <v>0.0570440607366574</v>
      </c>
      <c r="N53" s="9" t="n">
        <f aca="false">K53-J53</f>
        <v>24266307</v>
      </c>
      <c r="O53" s="9" t="n">
        <f aca="false">MAX(N53,0)</f>
        <v>24266307</v>
      </c>
      <c r="P53" s="9" t="n">
        <f aca="false">MIN(N53,0)</f>
        <v>0</v>
      </c>
      <c r="Q53" s="8" t="n">
        <f aca="false">ROUND(L53,2)</f>
        <v>1.3</v>
      </c>
    </row>
    <row r="54" customFormat="false" ht="15" hidden="false" customHeight="false" outlineLevel="0" collapsed="false">
      <c r="A54" s="5" t="n">
        <v>50</v>
      </c>
      <c r="B54" s="6" t="s">
        <v>60</v>
      </c>
      <c r="C54" s="5" t="n">
        <v>161</v>
      </c>
      <c r="D54" s="6" t="s">
        <v>78</v>
      </c>
      <c r="E54" s="5" t="s">
        <v>27</v>
      </c>
      <c r="F54" s="5" t="s">
        <v>28</v>
      </c>
      <c r="G54" s="7" t="n">
        <v>46740000</v>
      </c>
      <c r="H54" s="7" t="n">
        <v>43009016</v>
      </c>
      <c r="I54" s="8" t="n">
        <f aca="false">IFERROR(H54/G54,0)</f>
        <v>0.920175780915704</v>
      </c>
      <c r="J54" s="9" t="n">
        <v>51780000</v>
      </c>
      <c r="K54" s="9" t="n">
        <v>42318931</v>
      </c>
      <c r="L54" s="8" t="n">
        <f aca="false">IFERROR(K54/J54,0)</f>
        <v>0.817283333333333</v>
      </c>
      <c r="M54" s="8" t="n">
        <f aca="false">IFERROR(J54/H54-1,0)</f>
        <v>0.203933612431403</v>
      </c>
      <c r="N54" s="9" t="n">
        <f aca="false">K54-J54</f>
        <v>-9461069</v>
      </c>
      <c r="O54" s="9" t="n">
        <f aca="false">MAX(N54,0)</f>
        <v>0</v>
      </c>
      <c r="P54" s="9" t="n">
        <f aca="false">MIN(N54,0)</f>
        <v>-9461069</v>
      </c>
      <c r="Q54" s="8" t="n">
        <f aca="false">ROUND(L54,2)</f>
        <v>0.82</v>
      </c>
    </row>
    <row r="55" customFormat="false" ht="15" hidden="false" customHeight="false" outlineLevel="0" collapsed="false">
      <c r="A55" s="5" t="n">
        <v>51</v>
      </c>
      <c r="B55" s="6" t="s">
        <v>60</v>
      </c>
      <c r="C55" s="5" t="n">
        <v>162</v>
      </c>
      <c r="D55" s="6" t="s">
        <v>79</v>
      </c>
      <c r="E55" s="5" t="s">
        <v>22</v>
      </c>
      <c r="F55" s="5" t="s">
        <v>38</v>
      </c>
      <c r="G55" s="7" t="n">
        <v>95310000</v>
      </c>
      <c r="H55" s="7" t="n">
        <v>123707327</v>
      </c>
      <c r="I55" s="8" t="n">
        <f aca="false">IFERROR(H55/G55,0)</f>
        <v>1.29794698352744</v>
      </c>
      <c r="J55" s="9" t="n">
        <v>111250000</v>
      </c>
      <c r="K55" s="9" t="n">
        <v>178110527</v>
      </c>
      <c r="L55" s="8" t="n">
        <f aca="false">IFERROR(K55/J55,0)</f>
        <v>1.6009935011236</v>
      </c>
      <c r="M55" s="8" t="n">
        <f aca="false">IFERROR(J55/H55-1,0)</f>
        <v>-0.100699993299508</v>
      </c>
      <c r="N55" s="9" t="n">
        <f aca="false">K55-J55</f>
        <v>66860527</v>
      </c>
      <c r="O55" s="9" t="n">
        <f aca="false">MAX(N55,0)</f>
        <v>66860527</v>
      </c>
      <c r="P55" s="9" t="n">
        <f aca="false">MIN(N55,0)</f>
        <v>0</v>
      </c>
      <c r="Q55" s="8" t="n">
        <f aca="false">ROUND(L55,2)</f>
        <v>1.6</v>
      </c>
    </row>
    <row r="56" customFormat="false" ht="15" hidden="false" customHeight="false" outlineLevel="0" collapsed="false">
      <c r="A56" s="5" t="n">
        <v>52</v>
      </c>
      <c r="B56" s="6" t="s">
        <v>80</v>
      </c>
      <c r="C56" s="5" t="n">
        <v>163</v>
      </c>
      <c r="D56" s="6" t="s">
        <v>81</v>
      </c>
      <c r="E56" s="5" t="s">
        <v>24</v>
      </c>
      <c r="F56" s="5" t="s">
        <v>28</v>
      </c>
      <c r="G56" s="7" t="n">
        <v>47360000</v>
      </c>
      <c r="H56" s="7" t="n">
        <v>31957806</v>
      </c>
      <c r="I56" s="8" t="n">
        <f aca="false">IFERROR(H56/G56,0)</f>
        <v>0.674784755067568</v>
      </c>
      <c r="J56" s="9" t="n">
        <v>57760000</v>
      </c>
      <c r="K56" s="9" t="n">
        <v>47384123</v>
      </c>
      <c r="L56" s="8" t="n">
        <f aca="false">IFERROR(K56/J56,0)</f>
        <v>0.820362240304709</v>
      </c>
      <c r="M56" s="8" t="n">
        <f aca="false">IFERROR(J56/H56-1,0)</f>
        <v>0.807383147641612</v>
      </c>
      <c r="N56" s="9" t="n">
        <f aca="false">K56-J56</f>
        <v>-10375877</v>
      </c>
      <c r="O56" s="9" t="n">
        <f aca="false">MAX(N56,0)</f>
        <v>0</v>
      </c>
      <c r="P56" s="9" t="n">
        <f aca="false">MIN(N56,0)</f>
        <v>-10375877</v>
      </c>
      <c r="Q56" s="8" t="n">
        <f aca="false">ROUND(L56,2)</f>
        <v>0.82</v>
      </c>
    </row>
    <row r="57" customFormat="false" ht="15" hidden="false" customHeight="false" outlineLevel="0" collapsed="false">
      <c r="A57" s="5" t="n">
        <v>53</v>
      </c>
      <c r="B57" s="6" t="s">
        <v>60</v>
      </c>
      <c r="C57" s="5" t="n">
        <v>164</v>
      </c>
      <c r="D57" s="6" t="s">
        <v>82</v>
      </c>
      <c r="E57" s="5" t="s">
        <v>30</v>
      </c>
      <c r="F57" s="5" t="s">
        <v>28</v>
      </c>
      <c r="G57" s="7" t="n">
        <v>61510000</v>
      </c>
      <c r="H57" s="7" t="n">
        <v>49285489</v>
      </c>
      <c r="I57" s="8" t="n">
        <f aca="false">IFERROR(H57/G57,0)</f>
        <v>0.80125977889774</v>
      </c>
      <c r="J57" s="9" t="n">
        <v>71460000</v>
      </c>
      <c r="K57" s="9" t="n">
        <v>54719513</v>
      </c>
      <c r="L57" s="8" t="n">
        <f aca="false">IFERROR(K57/J57,0)</f>
        <v>0.76573625804646</v>
      </c>
      <c r="M57" s="8" t="n">
        <f aca="false">IFERROR(J57/H57-1,0)</f>
        <v>0.449919671082091</v>
      </c>
      <c r="N57" s="9" t="n">
        <f aca="false">K57-J57</f>
        <v>-16740487</v>
      </c>
      <c r="O57" s="9" t="n">
        <f aca="false">MAX(N57,0)</f>
        <v>0</v>
      </c>
      <c r="P57" s="9" t="n">
        <f aca="false">MIN(N57,0)</f>
        <v>-16740487</v>
      </c>
      <c r="Q57" s="8" t="n">
        <f aca="false">ROUND(L57,2)</f>
        <v>0.77</v>
      </c>
    </row>
    <row r="58" customFormat="false" ht="15" hidden="false" customHeight="false" outlineLevel="0" collapsed="false">
      <c r="A58" s="5" t="n">
        <v>54</v>
      </c>
      <c r="B58" s="6" t="s">
        <v>60</v>
      </c>
      <c r="C58" s="5" t="n">
        <v>165</v>
      </c>
      <c r="D58" s="6" t="s">
        <v>83</v>
      </c>
      <c r="E58" s="5" t="s">
        <v>27</v>
      </c>
      <c r="F58" s="5" t="s">
        <v>38</v>
      </c>
      <c r="G58" s="7" t="n">
        <v>76940000</v>
      </c>
      <c r="H58" s="7" t="n">
        <v>72829919</v>
      </c>
      <c r="I58" s="8" t="n">
        <f aca="false">IFERROR(H58/G58,0)</f>
        <v>0.946580699246166</v>
      </c>
      <c r="J58" s="9" t="n">
        <v>85530000</v>
      </c>
      <c r="K58" s="9" t="n">
        <v>132567789</v>
      </c>
      <c r="L58" s="8" t="n">
        <f aca="false">IFERROR(K58/J58,0)</f>
        <v>1.54995661171519</v>
      </c>
      <c r="M58" s="8" t="n">
        <f aca="false">IFERROR(J58/H58-1,0)</f>
        <v>0.174379996221059</v>
      </c>
      <c r="N58" s="9" t="n">
        <f aca="false">K58-J58</f>
        <v>47037789</v>
      </c>
      <c r="O58" s="9" t="n">
        <f aca="false">MAX(N58,0)</f>
        <v>47037789</v>
      </c>
      <c r="P58" s="9" t="n">
        <f aca="false">MIN(N58,0)</f>
        <v>0</v>
      </c>
      <c r="Q58" s="8" t="n">
        <f aca="false">ROUND(L58,2)</f>
        <v>1.55</v>
      </c>
    </row>
    <row r="59" customFormat="false" ht="15" hidden="false" customHeight="false" outlineLevel="0" collapsed="false">
      <c r="A59" s="5" t="n">
        <v>55</v>
      </c>
      <c r="B59" s="6" t="s">
        <v>60</v>
      </c>
      <c r="C59" s="5" t="n">
        <v>166</v>
      </c>
      <c r="D59" s="6" t="s">
        <v>84</v>
      </c>
      <c r="E59" s="5" t="s">
        <v>24</v>
      </c>
      <c r="F59" s="5" t="s">
        <v>28</v>
      </c>
      <c r="G59" s="7" t="n">
        <v>53100000</v>
      </c>
      <c r="H59" s="7" t="n">
        <v>36575249</v>
      </c>
      <c r="I59" s="8" t="n">
        <f aca="false">IFERROR(H59/G59,0)</f>
        <v>0.688799416195857</v>
      </c>
      <c r="J59" s="9" t="n">
        <v>64930000</v>
      </c>
      <c r="K59" s="9" t="n">
        <v>58273963</v>
      </c>
      <c r="L59" s="8" t="n">
        <f aca="false">IFERROR(K59/J59,0)</f>
        <v>0.897489034344679</v>
      </c>
      <c r="M59" s="8" t="n">
        <f aca="false">IFERROR(J59/H59-1,0)</f>
        <v>0.775244236888175</v>
      </c>
      <c r="N59" s="9" t="n">
        <f aca="false">K59-J59</f>
        <v>-6656037</v>
      </c>
      <c r="O59" s="9" t="n">
        <f aca="false">MAX(N59,0)</f>
        <v>0</v>
      </c>
      <c r="P59" s="9" t="n">
        <f aca="false">MIN(N59,0)</f>
        <v>-6656037</v>
      </c>
      <c r="Q59" s="8" t="n">
        <f aca="false">ROUND(L59,2)</f>
        <v>0.9</v>
      </c>
    </row>
    <row r="60" customFormat="false" ht="15" hidden="false" customHeight="false" outlineLevel="0" collapsed="false">
      <c r="A60" s="5" t="n">
        <v>56</v>
      </c>
      <c r="B60" s="6" t="s">
        <v>60</v>
      </c>
      <c r="C60" s="5" t="n">
        <v>167</v>
      </c>
      <c r="D60" s="6" t="s">
        <v>85</v>
      </c>
      <c r="E60" s="5" t="s">
        <v>24</v>
      </c>
      <c r="F60" s="5" t="s">
        <v>28</v>
      </c>
      <c r="G60" s="7" t="n">
        <v>87040000</v>
      </c>
      <c r="H60" s="7" t="n">
        <v>58371614</v>
      </c>
      <c r="I60" s="8" t="n">
        <f aca="false">IFERROR(H60/G60,0)</f>
        <v>0.670629756433824</v>
      </c>
      <c r="J60" s="9" t="n">
        <v>100880000</v>
      </c>
      <c r="K60" s="9" t="n">
        <v>87988931</v>
      </c>
      <c r="L60" s="8" t="n">
        <f aca="false">IFERROR(K60/J60,0)</f>
        <v>0.872213828310864</v>
      </c>
      <c r="M60" s="8" t="n">
        <f aca="false">IFERROR(J60/H60-1,0)</f>
        <v>0.728237290132152</v>
      </c>
      <c r="N60" s="9" t="n">
        <f aca="false">K60-J60</f>
        <v>-12891069</v>
      </c>
      <c r="O60" s="9" t="n">
        <f aca="false">MAX(N60,0)</f>
        <v>0</v>
      </c>
      <c r="P60" s="9" t="n">
        <f aca="false">MIN(N60,0)</f>
        <v>-12891069</v>
      </c>
      <c r="Q60" s="8" t="n">
        <f aca="false">ROUND(L60,2)</f>
        <v>0.87</v>
      </c>
    </row>
    <row r="61" customFormat="false" ht="15" hidden="false" customHeight="false" outlineLevel="0" collapsed="false">
      <c r="A61" s="5" t="n">
        <v>57</v>
      </c>
      <c r="B61" s="6" t="s">
        <v>60</v>
      </c>
      <c r="C61" s="5" t="n">
        <v>168</v>
      </c>
      <c r="D61" s="6" t="s">
        <v>86</v>
      </c>
      <c r="E61" s="5" t="s">
        <v>30</v>
      </c>
      <c r="F61" s="5" t="s">
        <v>21</v>
      </c>
      <c r="G61" s="7" t="n">
        <v>81040000</v>
      </c>
      <c r="H61" s="7" t="n">
        <v>62338147</v>
      </c>
      <c r="I61" s="8" t="n">
        <f aca="false">IFERROR(H61/G61,0)</f>
        <v>0.769226887956565</v>
      </c>
      <c r="J61" s="9" t="n">
        <v>93940000</v>
      </c>
      <c r="K61" s="9" t="n">
        <v>99414533</v>
      </c>
      <c r="L61" s="8" t="n">
        <f aca="false">IFERROR(K61/J61,0)</f>
        <v>1.05827691079412</v>
      </c>
      <c r="M61" s="8" t="n">
        <f aca="false">IFERROR(J61/H61-1,0)</f>
        <v>0.50694245050306</v>
      </c>
      <c r="N61" s="9" t="n">
        <f aca="false">K61-J61</f>
        <v>5474533</v>
      </c>
      <c r="O61" s="9" t="n">
        <f aca="false">MAX(N61,0)</f>
        <v>5474533</v>
      </c>
      <c r="P61" s="9" t="n">
        <f aca="false">MIN(N61,0)</f>
        <v>0</v>
      </c>
      <c r="Q61" s="8" t="n">
        <f aca="false">ROUND(L61,2)</f>
        <v>1.06</v>
      </c>
    </row>
    <row r="62" customFormat="false" ht="15" hidden="false" customHeight="false" outlineLevel="0" collapsed="false">
      <c r="A62" s="5" t="n">
        <v>58</v>
      </c>
      <c r="B62" s="6" t="s">
        <v>60</v>
      </c>
      <c r="C62" s="5" t="n">
        <v>169</v>
      </c>
      <c r="D62" s="6" t="s">
        <v>87</v>
      </c>
      <c r="E62" s="5" t="s">
        <v>30</v>
      </c>
      <c r="F62" s="5" t="s">
        <v>28</v>
      </c>
      <c r="G62" s="7" t="n">
        <v>64610000</v>
      </c>
      <c r="H62" s="7" t="n">
        <v>50480862</v>
      </c>
      <c r="I62" s="8" t="n">
        <f aca="false">IFERROR(H62/G62,0)</f>
        <v>0.781316545426405</v>
      </c>
      <c r="J62" s="9" t="n">
        <v>75130000</v>
      </c>
      <c r="K62" s="9" t="n">
        <v>71520993</v>
      </c>
      <c r="L62" s="8" t="n">
        <f aca="false">IFERROR(K62/J62,0)</f>
        <v>0.951963170504459</v>
      </c>
      <c r="M62" s="8" t="n">
        <f aca="false">IFERROR(J62/H62-1,0)</f>
        <v>0.488286788763631</v>
      </c>
      <c r="N62" s="9" t="n">
        <f aca="false">K62-J62</f>
        <v>-3609007</v>
      </c>
      <c r="O62" s="9" t="n">
        <f aca="false">MAX(N62,0)</f>
        <v>0</v>
      </c>
      <c r="P62" s="9" t="n">
        <f aca="false">MIN(N62,0)</f>
        <v>-3609007</v>
      </c>
      <c r="Q62" s="8" t="n">
        <f aca="false">ROUND(L62,2)</f>
        <v>0.95</v>
      </c>
    </row>
    <row r="63" customFormat="false" ht="15" hidden="false" customHeight="false" outlineLevel="0" collapsed="false">
      <c r="A63" s="5" t="n">
        <v>59</v>
      </c>
      <c r="B63" s="6" t="s">
        <v>60</v>
      </c>
      <c r="C63" s="5" t="n">
        <v>170</v>
      </c>
      <c r="D63" s="6" t="s">
        <v>88</v>
      </c>
      <c r="E63" s="5" t="s">
        <v>30</v>
      </c>
      <c r="F63" s="5" t="s">
        <v>22</v>
      </c>
      <c r="G63" s="7" t="n">
        <v>55290000</v>
      </c>
      <c r="H63" s="7" t="n">
        <v>49005414</v>
      </c>
      <c r="I63" s="8" t="n">
        <f aca="false">IFERROR(H63/G63,0)</f>
        <v>0.886334129137276</v>
      </c>
      <c r="J63" s="9" t="n">
        <v>64280000</v>
      </c>
      <c r="K63" s="9" t="n">
        <v>76868205</v>
      </c>
      <c r="L63" s="8" t="n">
        <f aca="false">IFERROR(K63/J63,0)</f>
        <v>1.19583392968264</v>
      </c>
      <c r="M63" s="8" t="n">
        <f aca="false">IFERROR(J63/H63-1,0)</f>
        <v>0.31169180613391</v>
      </c>
      <c r="N63" s="9" t="n">
        <f aca="false">K63-J63</f>
        <v>12588205</v>
      </c>
      <c r="O63" s="9" t="n">
        <f aca="false">MAX(N63,0)</f>
        <v>12588205</v>
      </c>
      <c r="P63" s="9" t="n">
        <f aca="false">MIN(N63,0)</f>
        <v>0</v>
      </c>
      <c r="Q63" s="8" t="n">
        <f aca="false">ROUND(L63,2)</f>
        <v>1.2</v>
      </c>
    </row>
    <row r="64" customFormat="false" ht="15" hidden="false" customHeight="false" outlineLevel="0" collapsed="false">
      <c r="A64" s="5" t="n">
        <v>60</v>
      </c>
      <c r="B64" s="6" t="s">
        <v>60</v>
      </c>
      <c r="C64" s="5" t="n">
        <v>171</v>
      </c>
      <c r="D64" s="6" t="s">
        <v>89</v>
      </c>
      <c r="E64" s="5" t="s">
        <v>25</v>
      </c>
      <c r="F64" s="5" t="s">
        <v>22</v>
      </c>
      <c r="G64" s="7" t="n">
        <v>53970000</v>
      </c>
      <c r="H64" s="7" t="n">
        <v>55092845</v>
      </c>
      <c r="I64" s="8" t="n">
        <f aca="false">IFERROR(H64/G64,0)</f>
        <v>1.02080498425051</v>
      </c>
      <c r="J64" s="9" t="n">
        <v>61230000</v>
      </c>
      <c r="K64" s="9" t="n">
        <v>89702081</v>
      </c>
      <c r="L64" s="8" t="n">
        <f aca="false">IFERROR(K64/J64,0)</f>
        <v>1.46500213947411</v>
      </c>
      <c r="M64" s="8" t="n">
        <f aca="false">IFERROR(J64/H64-1,0)</f>
        <v>0.111396588794788</v>
      </c>
      <c r="N64" s="9" t="n">
        <f aca="false">K64-J64</f>
        <v>28472081</v>
      </c>
      <c r="O64" s="9" t="n">
        <f aca="false">MAX(N64,0)</f>
        <v>28472081</v>
      </c>
      <c r="P64" s="9" t="n">
        <f aca="false">MIN(N64,0)</f>
        <v>0</v>
      </c>
      <c r="Q64" s="8" t="n">
        <f aca="false">ROUND(L64,2)</f>
        <v>1.47</v>
      </c>
    </row>
    <row r="65" customFormat="false" ht="15" hidden="false" customHeight="false" outlineLevel="0" collapsed="false">
      <c r="A65" s="5" t="n">
        <v>61</v>
      </c>
      <c r="B65" s="6" t="s">
        <v>60</v>
      </c>
      <c r="C65" s="5" t="n">
        <v>172</v>
      </c>
      <c r="D65" s="6" t="s">
        <v>90</v>
      </c>
      <c r="E65" s="5" t="s">
        <v>30</v>
      </c>
      <c r="F65" s="5" t="s">
        <v>22</v>
      </c>
      <c r="G65" s="7" t="n">
        <v>32300000</v>
      </c>
      <c r="H65" s="7" t="n">
        <v>24498095</v>
      </c>
      <c r="I65" s="8" t="n">
        <f aca="false">IFERROR(H65/G65,0)</f>
        <v>0.758454953560372</v>
      </c>
      <c r="J65" s="9" t="n">
        <v>38160000</v>
      </c>
      <c r="K65" s="9" t="n">
        <v>52796873</v>
      </c>
      <c r="L65" s="8" t="n">
        <f aca="false">IFERROR(K65/J65,0)</f>
        <v>1.38356585429769</v>
      </c>
      <c r="M65" s="8" t="n">
        <f aca="false">IFERROR(J65/H65-1,0)</f>
        <v>0.55767213736415</v>
      </c>
      <c r="N65" s="9" t="n">
        <f aca="false">K65-J65</f>
        <v>14636873</v>
      </c>
      <c r="O65" s="9" t="n">
        <f aca="false">MAX(N65,0)</f>
        <v>14636873</v>
      </c>
      <c r="P65" s="9" t="n">
        <f aca="false">MIN(N65,0)</f>
        <v>0</v>
      </c>
      <c r="Q65" s="8" t="n">
        <f aca="false">ROUND(L65,2)</f>
        <v>1.38</v>
      </c>
    </row>
    <row r="66" customFormat="false" ht="15" hidden="false" customHeight="false" outlineLevel="0" collapsed="false">
      <c r="A66" s="5" t="n">
        <v>62</v>
      </c>
      <c r="B66" s="6" t="s">
        <v>80</v>
      </c>
      <c r="C66" s="5" t="n">
        <v>173</v>
      </c>
      <c r="D66" s="6" t="s">
        <v>91</v>
      </c>
      <c r="E66" s="5" t="s">
        <v>24</v>
      </c>
      <c r="F66" s="5" t="s">
        <v>25</v>
      </c>
      <c r="G66" s="7" t="n">
        <v>42000000</v>
      </c>
      <c r="H66" s="7" t="n">
        <v>30885468</v>
      </c>
      <c r="I66" s="8" t="n">
        <f aca="false">IFERROR(H66/G66,0)</f>
        <v>0.735368285714286</v>
      </c>
      <c r="J66" s="9" t="n">
        <v>51200000</v>
      </c>
      <c r="K66" s="9" t="n">
        <v>36336774</v>
      </c>
      <c r="L66" s="8" t="n">
        <f aca="false">IFERROR(K66/J66,0)</f>
        <v>0.7097026171875</v>
      </c>
      <c r="M66" s="8" t="n">
        <f aca="false">IFERROR(J66/H66-1,0)</f>
        <v>0.657737548286463</v>
      </c>
      <c r="N66" s="9" t="n">
        <f aca="false">K66-J66</f>
        <v>-14863226</v>
      </c>
      <c r="O66" s="9" t="n">
        <f aca="false">MAX(N66,0)</f>
        <v>0</v>
      </c>
      <c r="P66" s="9" t="n">
        <f aca="false">MIN(N66,0)</f>
        <v>-14863226</v>
      </c>
      <c r="Q66" s="8" t="n">
        <f aca="false">ROUND(L66,2)</f>
        <v>0.71</v>
      </c>
    </row>
    <row r="67" customFormat="false" ht="15" hidden="false" customHeight="false" outlineLevel="0" collapsed="false">
      <c r="A67" s="5" t="n">
        <v>63</v>
      </c>
      <c r="B67" s="6" t="s">
        <v>60</v>
      </c>
      <c r="C67" s="5" t="n">
        <v>174</v>
      </c>
      <c r="D67" s="6" t="s">
        <v>92</v>
      </c>
      <c r="E67" s="5" t="s">
        <v>28</v>
      </c>
      <c r="F67" s="5" t="s">
        <v>21</v>
      </c>
      <c r="G67" s="7" t="n">
        <v>85470000</v>
      </c>
      <c r="H67" s="7" t="n">
        <v>99449880</v>
      </c>
      <c r="I67" s="8" t="n">
        <f aca="false">IFERROR(H67/G67,0)</f>
        <v>1.16356475956476</v>
      </c>
      <c r="J67" s="9" t="n">
        <v>104860000</v>
      </c>
      <c r="K67" s="9" t="n">
        <v>124307550</v>
      </c>
      <c r="L67" s="8" t="n">
        <f aca="false">IFERROR(K67/J67,0)</f>
        <v>1.18546204463094</v>
      </c>
      <c r="M67" s="8" t="n">
        <f aca="false">IFERROR(J67/H67-1,0)</f>
        <v>0.0544004678537571</v>
      </c>
      <c r="N67" s="9" t="n">
        <f aca="false">K67-J67</f>
        <v>19447550</v>
      </c>
      <c r="O67" s="9" t="n">
        <f aca="false">MAX(N67,0)</f>
        <v>19447550</v>
      </c>
      <c r="P67" s="9" t="n">
        <f aca="false">MIN(N67,0)</f>
        <v>0</v>
      </c>
      <c r="Q67" s="8" t="n">
        <f aca="false">ROUND(L67,2)</f>
        <v>1.19</v>
      </c>
    </row>
    <row r="68" customFormat="false" ht="15" hidden="false" customHeight="false" outlineLevel="0" collapsed="false">
      <c r="A68" s="5" t="n">
        <v>64</v>
      </c>
      <c r="B68" s="6" t="s">
        <v>60</v>
      </c>
      <c r="C68" s="5" t="n">
        <v>175</v>
      </c>
      <c r="D68" s="6" t="s">
        <v>93</v>
      </c>
      <c r="E68" s="5" t="s">
        <v>30</v>
      </c>
      <c r="F68" s="5" t="s">
        <v>28</v>
      </c>
      <c r="G68" s="7" t="n">
        <v>61460000</v>
      </c>
      <c r="H68" s="7" t="n">
        <v>54215411</v>
      </c>
      <c r="I68" s="8" t="n">
        <f aca="false">IFERROR(H68/G68,0)</f>
        <v>0.882125138301334</v>
      </c>
      <c r="J68" s="9" t="n">
        <v>71300000</v>
      </c>
      <c r="K68" s="9" t="n">
        <v>63605529</v>
      </c>
      <c r="L68" s="8" t="n">
        <f aca="false">IFERROR(K68/J68,0)</f>
        <v>0.892083155680224</v>
      </c>
      <c r="M68" s="8" t="n">
        <f aca="false">IFERROR(J68/H68-1,0)</f>
        <v>0.315124218093634</v>
      </c>
      <c r="N68" s="9" t="n">
        <f aca="false">K68-J68</f>
        <v>-7694471</v>
      </c>
      <c r="O68" s="9" t="n">
        <f aca="false">MAX(N68,0)</f>
        <v>0</v>
      </c>
      <c r="P68" s="9" t="n">
        <f aca="false">MIN(N68,0)</f>
        <v>-7694471</v>
      </c>
      <c r="Q68" s="8" t="n">
        <f aca="false">ROUND(L68,2)</f>
        <v>0.89</v>
      </c>
    </row>
    <row r="69" customFormat="false" ht="15" hidden="false" customHeight="false" outlineLevel="0" collapsed="false">
      <c r="A69" s="5" t="n">
        <v>65</v>
      </c>
      <c r="B69" s="6" t="s">
        <v>80</v>
      </c>
      <c r="C69" s="5" t="n">
        <v>176</v>
      </c>
      <c r="D69" s="6" t="s">
        <v>94</v>
      </c>
      <c r="E69" s="5" t="s">
        <v>27</v>
      </c>
      <c r="F69" s="5" t="s">
        <v>28</v>
      </c>
      <c r="G69" s="7" t="n">
        <v>37830000</v>
      </c>
      <c r="H69" s="7" t="n">
        <v>35020848</v>
      </c>
      <c r="I69" s="8" t="n">
        <f aca="false">IFERROR(H69/G69,0)</f>
        <v>0.925742743854084</v>
      </c>
      <c r="J69" s="9" t="n">
        <v>42340000</v>
      </c>
      <c r="K69" s="9" t="n">
        <v>37796451</v>
      </c>
      <c r="L69" s="8" t="n">
        <f aca="false">IFERROR(K69/J69,0)</f>
        <v>0.892688970240907</v>
      </c>
      <c r="M69" s="8" t="n">
        <f aca="false">IFERROR(J69/H69-1,0)</f>
        <v>0.20899413971929</v>
      </c>
      <c r="N69" s="9" t="n">
        <f aca="false">K69-J69</f>
        <v>-4543549</v>
      </c>
      <c r="O69" s="9" t="n">
        <f aca="false">MAX(N69,0)</f>
        <v>0</v>
      </c>
      <c r="P69" s="9" t="n">
        <f aca="false">MIN(N69,0)</f>
        <v>-4543549</v>
      </c>
      <c r="Q69" s="8" t="n">
        <f aca="false">ROUND(L69,2)</f>
        <v>0.89</v>
      </c>
    </row>
    <row r="70" customFormat="false" ht="15" hidden="false" customHeight="false" outlineLevel="0" collapsed="false">
      <c r="A70" s="5" t="n">
        <v>66</v>
      </c>
      <c r="B70" s="6" t="s">
        <v>19</v>
      </c>
      <c r="C70" s="5" t="n">
        <v>177</v>
      </c>
      <c r="D70" s="6" t="s">
        <v>95</v>
      </c>
      <c r="E70" s="5" t="s">
        <v>96</v>
      </c>
      <c r="F70" s="5" t="s">
        <v>28</v>
      </c>
      <c r="G70" s="7" t="n">
        <v>6640000</v>
      </c>
      <c r="H70" s="7" t="n">
        <v>17157780</v>
      </c>
      <c r="I70" s="8" t="n">
        <f aca="false">IFERROR(H70/G70,0)</f>
        <v>2.58400301204819</v>
      </c>
      <c r="J70" s="9" t="n">
        <v>15750000</v>
      </c>
      <c r="K70" s="9" t="n">
        <v>13618622</v>
      </c>
      <c r="L70" s="8" t="n">
        <f aca="false">IFERROR(K70/J70,0)</f>
        <v>0.864674412698413</v>
      </c>
      <c r="M70" s="8" t="n">
        <f aca="false">IFERROR(J70/H70-1,0)</f>
        <v>-0.0820490762790991</v>
      </c>
      <c r="N70" s="9" t="n">
        <f aca="false">K70-J70</f>
        <v>-2131378</v>
      </c>
      <c r="O70" s="9" t="n">
        <f aca="false">MAX(N70,0)</f>
        <v>0</v>
      </c>
      <c r="P70" s="9" t="n">
        <f aca="false">MIN(N70,0)</f>
        <v>-2131378</v>
      </c>
      <c r="Q70" s="8" t="n">
        <f aca="false">ROUND(L70,2)</f>
        <v>0.86</v>
      </c>
    </row>
    <row r="71" customFormat="false" ht="15" hidden="false" customHeight="false" outlineLevel="0" collapsed="false">
      <c r="A71" s="5" t="n">
        <v>67</v>
      </c>
      <c r="B71" s="6" t="s">
        <v>19</v>
      </c>
      <c r="C71" s="5" t="n">
        <v>178</v>
      </c>
      <c r="D71" s="6" t="s">
        <v>97</v>
      </c>
      <c r="E71" s="5" t="s">
        <v>38</v>
      </c>
      <c r="F71" s="5" t="s">
        <v>96</v>
      </c>
      <c r="G71" s="7" t="n">
        <v>51560000</v>
      </c>
      <c r="H71" s="7" t="n">
        <v>78619251</v>
      </c>
      <c r="I71" s="8" t="n">
        <f aca="false">IFERROR(H71/G71,0)</f>
        <v>1.5248109193173</v>
      </c>
      <c r="J71" s="9" t="n">
        <v>68840000</v>
      </c>
      <c r="K71" s="9" t="n">
        <v>131519728</v>
      </c>
      <c r="L71" s="8" t="n">
        <f aca="false">IFERROR(K71/J71,0)</f>
        <v>1.91051319000581</v>
      </c>
      <c r="M71" s="8" t="n">
        <f aca="false">IFERROR(J71/H71-1,0)</f>
        <v>-0.124387486215049</v>
      </c>
      <c r="N71" s="9" t="n">
        <f aca="false">K71-J71</f>
        <v>62679728</v>
      </c>
      <c r="O71" s="9" t="n">
        <f aca="false">MAX(N71,0)</f>
        <v>62679728</v>
      </c>
      <c r="P71" s="9" t="n">
        <f aca="false">MIN(N71,0)</f>
        <v>0</v>
      </c>
      <c r="Q71" s="8" t="n">
        <f aca="false">ROUND(L71,2)</f>
        <v>1.91</v>
      </c>
    </row>
    <row r="72" customFormat="false" ht="15" hidden="false" customHeight="false" outlineLevel="0" collapsed="false">
      <c r="A72" s="5" t="n">
        <v>68</v>
      </c>
      <c r="B72" s="6" t="s">
        <v>60</v>
      </c>
      <c r="C72" s="5" t="n">
        <v>179</v>
      </c>
      <c r="D72" s="6" t="s">
        <v>98</v>
      </c>
      <c r="E72" s="5" t="s">
        <v>24</v>
      </c>
      <c r="F72" s="5" t="s">
        <v>28</v>
      </c>
      <c r="G72" s="7" t="n">
        <v>63940000</v>
      </c>
      <c r="H72" s="7" t="n">
        <v>45244586</v>
      </c>
      <c r="I72" s="8" t="n">
        <f aca="false">IFERROR(H72/G72,0)</f>
        <v>0.707610040663122</v>
      </c>
      <c r="J72" s="9" t="n">
        <v>77460000</v>
      </c>
      <c r="K72" s="9" t="n">
        <v>75456428</v>
      </c>
      <c r="L72" s="8" t="n">
        <f aca="false">IFERROR(K72/J72,0)</f>
        <v>0.974134107926672</v>
      </c>
      <c r="M72" s="8" t="n">
        <f aca="false">IFERROR(J72/H72-1,0)</f>
        <v>0.712028042426999</v>
      </c>
      <c r="N72" s="9" t="n">
        <f aca="false">K72-J72</f>
        <v>-2003572</v>
      </c>
      <c r="O72" s="9" t="n">
        <f aca="false">MAX(N72,0)</f>
        <v>0</v>
      </c>
      <c r="P72" s="9" t="n">
        <f aca="false">MIN(N72,0)</f>
        <v>-2003572</v>
      </c>
      <c r="Q72" s="8" t="n">
        <f aca="false">ROUND(L72,2)</f>
        <v>0.97</v>
      </c>
    </row>
    <row r="73" customFormat="false" ht="15" hidden="false" customHeight="false" outlineLevel="0" collapsed="false">
      <c r="A73" s="5" t="n">
        <v>69</v>
      </c>
      <c r="B73" s="6" t="s">
        <v>60</v>
      </c>
      <c r="C73" s="5" t="n">
        <v>180</v>
      </c>
      <c r="D73" s="6" t="s">
        <v>99</v>
      </c>
      <c r="E73" s="5" t="s">
        <v>28</v>
      </c>
      <c r="F73" s="5" t="s">
        <v>22</v>
      </c>
      <c r="G73" s="7" t="n">
        <v>65270000</v>
      </c>
      <c r="H73" s="7" t="n">
        <v>76428997</v>
      </c>
      <c r="I73" s="8" t="n">
        <f aca="false">IFERROR(H73/G73,0)</f>
        <v>1.1709667075226</v>
      </c>
      <c r="J73" s="9" t="n">
        <v>82960000</v>
      </c>
      <c r="K73" s="9" t="n">
        <v>104611803</v>
      </c>
      <c r="L73" s="8" t="n">
        <f aca="false">IFERROR(K73/J73,0)</f>
        <v>1.26099087512054</v>
      </c>
      <c r="M73" s="8" t="n">
        <f aca="false">IFERROR(J73/H73-1,0)</f>
        <v>0.0854518998855893</v>
      </c>
      <c r="N73" s="9" t="n">
        <f aca="false">K73-J73</f>
        <v>21651803</v>
      </c>
      <c r="O73" s="9" t="n">
        <f aca="false">MAX(N73,0)</f>
        <v>21651803</v>
      </c>
      <c r="P73" s="9" t="n">
        <f aca="false">MIN(N73,0)</f>
        <v>0</v>
      </c>
      <c r="Q73" s="8" t="n">
        <f aca="false">ROUND(L73,2)</f>
        <v>1.26</v>
      </c>
    </row>
    <row r="74" customFormat="false" ht="15" hidden="false" customHeight="false" outlineLevel="0" collapsed="false">
      <c r="A74" s="5" t="n">
        <v>70</v>
      </c>
      <c r="B74" s="6" t="s">
        <v>60</v>
      </c>
      <c r="C74" s="5" t="n">
        <v>182</v>
      </c>
      <c r="D74" s="6" t="s">
        <v>100</v>
      </c>
      <c r="E74" s="5" t="s">
        <v>24</v>
      </c>
      <c r="F74" s="5" t="s">
        <v>21</v>
      </c>
      <c r="G74" s="7" t="n">
        <v>35960000</v>
      </c>
      <c r="H74" s="7" t="n">
        <v>25526539</v>
      </c>
      <c r="I74" s="8" t="n">
        <f aca="false">IFERROR(H74/G74,0)</f>
        <v>0.70985926028921</v>
      </c>
      <c r="J74" s="9" t="n">
        <v>43610000</v>
      </c>
      <c r="K74" s="9" t="n">
        <v>49976757</v>
      </c>
      <c r="L74" s="8" t="n">
        <f aca="false">IFERROR(K74/J74,0)</f>
        <v>1.14599305205228</v>
      </c>
      <c r="M74" s="8" t="n">
        <f aca="false">IFERROR(J74/H74-1,0)</f>
        <v>0.708418050719684</v>
      </c>
      <c r="N74" s="9" t="n">
        <f aca="false">K74-J74</f>
        <v>6366757</v>
      </c>
      <c r="O74" s="9" t="n">
        <f aca="false">MAX(N74,0)</f>
        <v>6366757</v>
      </c>
      <c r="P74" s="9" t="n">
        <f aca="false">MIN(N74,0)</f>
        <v>0</v>
      </c>
      <c r="Q74" s="8" t="n">
        <f aca="false">ROUND(L74,2)</f>
        <v>1.15</v>
      </c>
    </row>
    <row r="75" customFormat="false" ht="15" hidden="false" customHeight="false" outlineLevel="0" collapsed="false">
      <c r="A75" s="5" t="n">
        <v>71</v>
      </c>
      <c r="B75" s="6" t="s">
        <v>60</v>
      </c>
      <c r="C75" s="5" t="n">
        <v>183</v>
      </c>
      <c r="D75" s="6" t="s">
        <v>101</v>
      </c>
      <c r="E75" s="5" t="s">
        <v>30</v>
      </c>
      <c r="F75" s="5" t="s">
        <v>28</v>
      </c>
      <c r="G75" s="7" t="n">
        <v>33000000</v>
      </c>
      <c r="H75" s="7" t="n">
        <v>27548195</v>
      </c>
      <c r="I75" s="8" t="n">
        <f aca="false">IFERROR(H75/G75,0)</f>
        <v>0.834793787878788</v>
      </c>
      <c r="J75" s="9" t="n">
        <v>38790000</v>
      </c>
      <c r="K75" s="9" t="n">
        <v>31648331</v>
      </c>
      <c r="L75" s="8" t="n">
        <f aca="false">IFERROR(K75/J75,0)</f>
        <v>0.815888914668729</v>
      </c>
      <c r="M75" s="8" t="n">
        <f aca="false">IFERROR(J75/H75-1,0)</f>
        <v>0.408077734312538</v>
      </c>
      <c r="N75" s="9" t="n">
        <f aca="false">K75-J75</f>
        <v>-7141669</v>
      </c>
      <c r="O75" s="9" t="n">
        <f aca="false">MAX(N75,0)</f>
        <v>0</v>
      </c>
      <c r="P75" s="9" t="n">
        <f aca="false">MIN(N75,0)</f>
        <v>-7141669</v>
      </c>
      <c r="Q75" s="8" t="n">
        <f aca="false">ROUND(L75,2)</f>
        <v>0.82</v>
      </c>
    </row>
    <row r="76" customFormat="false" ht="15" hidden="false" customHeight="false" outlineLevel="0" collapsed="false">
      <c r="A76" s="5" t="n">
        <v>72</v>
      </c>
      <c r="B76" s="6" t="s">
        <v>60</v>
      </c>
      <c r="C76" s="5" t="n">
        <v>184</v>
      </c>
      <c r="D76" s="6" t="s">
        <v>102</v>
      </c>
      <c r="E76" s="5" t="s">
        <v>28</v>
      </c>
      <c r="F76" s="5" t="s">
        <v>21</v>
      </c>
      <c r="G76" s="7" t="n">
        <v>46260000</v>
      </c>
      <c r="H76" s="7" t="n">
        <v>52898996</v>
      </c>
      <c r="I76" s="8" t="n">
        <f aca="false">IFERROR(H76/G76,0)</f>
        <v>1.14351482922611</v>
      </c>
      <c r="J76" s="9" t="n">
        <v>57280000</v>
      </c>
      <c r="K76" s="9" t="n">
        <v>64996126</v>
      </c>
      <c r="L76" s="8" t="n">
        <f aca="false">IFERROR(K76/J76,0)</f>
        <v>1.13470890363129</v>
      </c>
      <c r="M76" s="8" t="n">
        <f aca="false">IFERROR(J76/H76-1,0)</f>
        <v>0.0828182826002974</v>
      </c>
      <c r="N76" s="9" t="n">
        <f aca="false">K76-J76</f>
        <v>7716126</v>
      </c>
      <c r="O76" s="9" t="n">
        <f aca="false">MAX(N76,0)</f>
        <v>7716126</v>
      </c>
      <c r="P76" s="9" t="n">
        <f aca="false">MIN(N76,0)</f>
        <v>0</v>
      </c>
      <c r="Q76" s="8" t="n">
        <f aca="false">ROUND(L76,2)</f>
        <v>1.13</v>
      </c>
    </row>
    <row r="77" customFormat="false" ht="15" hidden="false" customHeight="false" outlineLevel="0" collapsed="false">
      <c r="A77" s="5" t="n">
        <v>73</v>
      </c>
      <c r="B77" s="6" t="s">
        <v>60</v>
      </c>
      <c r="C77" s="5" t="n">
        <v>185</v>
      </c>
      <c r="D77" s="6" t="s">
        <v>103</v>
      </c>
      <c r="E77" s="5" t="s">
        <v>25</v>
      </c>
      <c r="F77" s="5" t="s">
        <v>28</v>
      </c>
      <c r="G77" s="7" t="n">
        <v>69790000</v>
      </c>
      <c r="H77" s="7" t="n">
        <v>74030830</v>
      </c>
      <c r="I77" s="8" t="n">
        <f aca="false">IFERROR(H77/G77,0)</f>
        <v>1.06076558246167</v>
      </c>
      <c r="J77" s="9" t="n">
        <v>82120000</v>
      </c>
      <c r="K77" s="9" t="n">
        <v>80510390</v>
      </c>
      <c r="L77" s="8" t="n">
        <f aca="false">IFERROR(K77/J77,0)</f>
        <v>0.980399293716513</v>
      </c>
      <c r="M77" s="8" t="n">
        <f aca="false">IFERROR(J77/H77-1,0)</f>
        <v>0.109267584869709</v>
      </c>
      <c r="N77" s="9" t="n">
        <f aca="false">K77-J77</f>
        <v>-1609610</v>
      </c>
      <c r="O77" s="9" t="n">
        <f aca="false">MAX(N77,0)</f>
        <v>0</v>
      </c>
      <c r="P77" s="9" t="n">
        <f aca="false">MIN(N77,0)</f>
        <v>-1609610</v>
      </c>
      <c r="Q77" s="8" t="n">
        <f aca="false">ROUND(L77,2)</f>
        <v>0.98</v>
      </c>
    </row>
    <row r="78" customFormat="false" ht="15" hidden="false" customHeight="false" outlineLevel="0" collapsed="false">
      <c r="A78" s="5" t="n">
        <v>74</v>
      </c>
      <c r="B78" s="6" t="s">
        <v>80</v>
      </c>
      <c r="C78" s="5" t="n">
        <v>186</v>
      </c>
      <c r="D78" s="6" t="s">
        <v>104</v>
      </c>
      <c r="E78" s="5" t="s">
        <v>27</v>
      </c>
      <c r="F78" s="5" t="s">
        <v>25</v>
      </c>
      <c r="G78" s="7" t="n">
        <v>43910000</v>
      </c>
      <c r="H78" s="7" t="n">
        <v>40574931</v>
      </c>
      <c r="I78" s="8" t="n">
        <f aca="false">IFERROR(H78/G78,0)</f>
        <v>0.924047620132088</v>
      </c>
      <c r="J78" s="9" t="n">
        <v>77150000</v>
      </c>
      <c r="K78" s="9" t="n">
        <v>50585750</v>
      </c>
      <c r="L78" s="8" t="n">
        <f aca="false">IFERROR(K78/J78,0)</f>
        <v>0.655680492546986</v>
      </c>
      <c r="M78" s="8" t="n">
        <f aca="false">IFERROR(J78/H78-1,0)</f>
        <v>0.901420362242883</v>
      </c>
      <c r="N78" s="9" t="n">
        <f aca="false">K78-J78</f>
        <v>-26564250</v>
      </c>
      <c r="O78" s="9" t="n">
        <f aca="false">MAX(N78,0)</f>
        <v>0</v>
      </c>
      <c r="P78" s="9" t="n">
        <f aca="false">MIN(N78,0)</f>
        <v>-26564250</v>
      </c>
      <c r="Q78" s="8" t="n">
        <f aca="false">ROUND(L78,2)</f>
        <v>0.66</v>
      </c>
    </row>
    <row r="79" customFormat="false" ht="15" hidden="false" customHeight="false" outlineLevel="0" collapsed="false">
      <c r="A79" s="5" t="n">
        <v>75</v>
      </c>
      <c r="B79" s="6" t="s">
        <v>60</v>
      </c>
      <c r="C79" s="5" t="n">
        <v>187</v>
      </c>
      <c r="D79" s="6" t="s">
        <v>105</v>
      </c>
      <c r="E79" s="5" t="s">
        <v>25</v>
      </c>
      <c r="F79" s="5" t="s">
        <v>22</v>
      </c>
      <c r="G79" s="7" t="n">
        <v>47980000</v>
      </c>
      <c r="H79" s="7" t="n">
        <v>51631576</v>
      </c>
      <c r="I79" s="8" t="n">
        <f aca="false">IFERROR(H79/G79,0)</f>
        <v>1.07610621092122</v>
      </c>
      <c r="J79" s="9" t="n">
        <v>57290000</v>
      </c>
      <c r="K79" s="9" t="n">
        <v>76406208</v>
      </c>
      <c r="L79" s="8" t="n">
        <f aca="false">IFERROR(K79/J79,0)</f>
        <v>1.33367442834701</v>
      </c>
      <c r="M79" s="8" t="n">
        <f aca="false">IFERROR(J79/H79-1,0)</f>
        <v>0.109592316143904</v>
      </c>
      <c r="N79" s="9" t="n">
        <f aca="false">K79-J79</f>
        <v>19116208</v>
      </c>
      <c r="O79" s="9" t="n">
        <f aca="false">MAX(N79,0)</f>
        <v>19116208</v>
      </c>
      <c r="P79" s="9" t="n">
        <f aca="false">MIN(N79,0)</f>
        <v>0</v>
      </c>
      <c r="Q79" s="8" t="n">
        <f aca="false">ROUND(L79,2)</f>
        <v>1.33</v>
      </c>
    </row>
    <row r="80" customFormat="false" ht="15" hidden="false" customHeight="false" outlineLevel="0" collapsed="false">
      <c r="A80" s="5" t="n">
        <v>76</v>
      </c>
      <c r="B80" s="6" t="s">
        <v>19</v>
      </c>
      <c r="C80" s="5" t="n">
        <v>189</v>
      </c>
      <c r="D80" s="6" t="s">
        <v>106</v>
      </c>
      <c r="E80" s="5" t="s">
        <v>28</v>
      </c>
      <c r="F80" s="5" t="s">
        <v>21</v>
      </c>
      <c r="G80" s="7" t="n">
        <v>62440000</v>
      </c>
      <c r="H80" s="7" t="n">
        <v>74216055</v>
      </c>
      <c r="I80" s="8" t="n">
        <f aca="false">IFERROR(H80/G80,0)</f>
        <v>1.18859793401666</v>
      </c>
      <c r="J80" s="9" t="n">
        <v>80500000</v>
      </c>
      <c r="K80" s="9" t="n">
        <v>90735057</v>
      </c>
      <c r="L80" s="8" t="n">
        <f aca="false">IFERROR(K80/J80,0)</f>
        <v>1.12714356521739</v>
      </c>
      <c r="M80" s="8" t="n">
        <f aca="false">IFERROR(J80/H80-1,0)</f>
        <v>0.0846709650627482</v>
      </c>
      <c r="N80" s="9" t="n">
        <f aca="false">K80-J80</f>
        <v>10235057</v>
      </c>
      <c r="O80" s="9" t="n">
        <f aca="false">MAX(N80,0)</f>
        <v>10235057</v>
      </c>
      <c r="P80" s="9" t="n">
        <f aca="false">MIN(N80,0)</f>
        <v>0</v>
      </c>
      <c r="Q80" s="8" t="n">
        <f aca="false">ROUND(L80,2)</f>
        <v>1.13</v>
      </c>
    </row>
    <row r="81" customFormat="false" ht="15" hidden="false" customHeight="false" outlineLevel="0" collapsed="false">
      <c r="A81" s="5" t="n">
        <v>77</v>
      </c>
      <c r="B81" s="6" t="s">
        <v>60</v>
      </c>
      <c r="C81" s="5" t="n">
        <v>190</v>
      </c>
      <c r="D81" s="6" t="s">
        <v>107</v>
      </c>
      <c r="E81" s="5" t="s">
        <v>27</v>
      </c>
      <c r="F81" s="5" t="s">
        <v>22</v>
      </c>
      <c r="G81" s="7" t="n">
        <v>53120000</v>
      </c>
      <c r="H81" s="7" t="n">
        <v>49547610</v>
      </c>
      <c r="I81" s="8" t="n">
        <f aca="false">IFERROR(H81/G81,0)</f>
        <v>0.932748682228916</v>
      </c>
      <c r="J81" s="9" t="n">
        <v>59460000</v>
      </c>
      <c r="K81" s="9" t="n">
        <v>81004243</v>
      </c>
      <c r="L81" s="8" t="n">
        <f aca="false">IFERROR(K81/J81,0)</f>
        <v>1.36233170198453</v>
      </c>
      <c r="M81" s="8" t="n">
        <f aca="false">IFERROR(J81/H81-1,0)</f>
        <v>0.200057883720325</v>
      </c>
      <c r="N81" s="9" t="n">
        <f aca="false">K81-J81</f>
        <v>21544243</v>
      </c>
      <c r="O81" s="9" t="n">
        <f aca="false">MAX(N81,0)</f>
        <v>21544243</v>
      </c>
      <c r="P81" s="9" t="n">
        <f aca="false">MIN(N81,0)</f>
        <v>0</v>
      </c>
      <c r="Q81" s="8" t="n">
        <f aca="false">ROUND(L81,2)</f>
        <v>1.36</v>
      </c>
    </row>
    <row r="82" customFormat="false" ht="15" hidden="false" customHeight="false" outlineLevel="0" collapsed="false">
      <c r="A82" s="5" t="n">
        <v>78</v>
      </c>
      <c r="B82" s="6" t="s">
        <v>80</v>
      </c>
      <c r="C82" s="5" t="n">
        <v>191</v>
      </c>
      <c r="D82" s="6" t="s">
        <v>108</v>
      </c>
      <c r="E82" s="5" t="s">
        <v>25</v>
      </c>
      <c r="F82" s="5" t="s">
        <v>21</v>
      </c>
      <c r="G82" s="7" t="n">
        <v>67630000</v>
      </c>
      <c r="H82" s="7" t="n">
        <v>68076271</v>
      </c>
      <c r="I82" s="8" t="n">
        <f aca="false">IFERROR(H82/G82,0)</f>
        <v>1.00659871358864</v>
      </c>
      <c r="J82" s="9" t="n">
        <v>75690000</v>
      </c>
      <c r="K82" s="9" t="n">
        <v>82833914</v>
      </c>
      <c r="L82" s="8" t="n">
        <f aca="false">IFERROR(K82/J82,0)</f>
        <v>1.09438385519884</v>
      </c>
      <c r="M82" s="8" t="n">
        <f aca="false">IFERROR(J82/H82-1,0)</f>
        <v>0.11184115827966</v>
      </c>
      <c r="N82" s="9" t="n">
        <f aca="false">K82-J82</f>
        <v>7143914</v>
      </c>
      <c r="O82" s="9" t="n">
        <f aca="false">MAX(N82,0)</f>
        <v>7143914</v>
      </c>
      <c r="P82" s="9" t="n">
        <f aca="false">MIN(N82,0)</f>
        <v>0</v>
      </c>
      <c r="Q82" s="8" t="n">
        <f aca="false">ROUND(L82,2)</f>
        <v>1.09</v>
      </c>
    </row>
    <row r="83" customFormat="false" ht="15" hidden="false" customHeight="false" outlineLevel="0" collapsed="false">
      <c r="A83" s="5" t="n">
        <v>79</v>
      </c>
      <c r="B83" s="6" t="s">
        <v>60</v>
      </c>
      <c r="C83" s="5" t="n">
        <v>192</v>
      </c>
      <c r="D83" s="6" t="s">
        <v>109</v>
      </c>
      <c r="E83" s="5" t="s">
        <v>30</v>
      </c>
      <c r="F83" s="5" t="s">
        <v>22</v>
      </c>
      <c r="G83" s="7" t="n">
        <v>66730000</v>
      </c>
      <c r="H83" s="7" t="n">
        <v>56220355</v>
      </c>
      <c r="I83" s="8" t="n">
        <f aca="false">IFERROR(H83/G83,0)</f>
        <v>0.842504945301963</v>
      </c>
      <c r="J83" s="9" t="n">
        <v>77470000</v>
      </c>
      <c r="K83" s="9" t="n">
        <v>95382733</v>
      </c>
      <c r="L83" s="8" t="n">
        <f aca="false">IFERROR(K83/J83,0)</f>
        <v>1.23122154382342</v>
      </c>
      <c r="M83" s="8" t="n">
        <f aca="false">IFERROR(J83/H83-1,0)</f>
        <v>0.37797066560679</v>
      </c>
      <c r="N83" s="9" t="n">
        <f aca="false">K83-J83</f>
        <v>17912733</v>
      </c>
      <c r="O83" s="9" t="n">
        <f aca="false">MAX(N83,0)</f>
        <v>17912733</v>
      </c>
      <c r="P83" s="9" t="n">
        <f aca="false">MIN(N83,0)</f>
        <v>0</v>
      </c>
      <c r="Q83" s="8" t="n">
        <f aca="false">ROUND(L83,2)</f>
        <v>1.23</v>
      </c>
    </row>
    <row r="84" customFormat="false" ht="15" hidden="false" customHeight="false" outlineLevel="0" collapsed="false">
      <c r="A84" s="5" t="n">
        <v>80</v>
      </c>
      <c r="B84" s="6" t="s">
        <v>80</v>
      </c>
      <c r="C84" s="5" t="n">
        <v>193</v>
      </c>
      <c r="D84" s="6" t="s">
        <v>110</v>
      </c>
      <c r="E84" s="5" t="s">
        <v>30</v>
      </c>
      <c r="F84" s="5" t="s">
        <v>25</v>
      </c>
      <c r="G84" s="7" t="n">
        <v>47780000</v>
      </c>
      <c r="H84" s="7" t="n">
        <v>42143667</v>
      </c>
      <c r="I84" s="8" t="n">
        <f aca="false">IFERROR(H84/G84,0)</f>
        <v>0.882035726245291</v>
      </c>
      <c r="J84" s="9" t="n">
        <v>56200000</v>
      </c>
      <c r="K84" s="9" t="n">
        <v>40700836</v>
      </c>
      <c r="L84" s="8" t="n">
        <f aca="false">IFERROR(K84/J84,0)</f>
        <v>0.724214163701068</v>
      </c>
      <c r="M84" s="8" t="n">
        <f aca="false">IFERROR(J84/H84-1,0)</f>
        <v>0.333533695584677</v>
      </c>
      <c r="N84" s="9" t="n">
        <f aca="false">K84-J84</f>
        <v>-15499164</v>
      </c>
      <c r="O84" s="9" t="n">
        <f aca="false">MAX(N84,0)</f>
        <v>0</v>
      </c>
      <c r="P84" s="9" t="n">
        <f aca="false">MIN(N84,0)</f>
        <v>-15499164</v>
      </c>
      <c r="Q84" s="8" t="n">
        <f aca="false">ROUND(L84,2)</f>
        <v>0.72</v>
      </c>
    </row>
    <row r="85" customFormat="false" ht="15" hidden="false" customHeight="false" outlineLevel="0" collapsed="false">
      <c r="A85" s="5" t="n">
        <v>81</v>
      </c>
      <c r="B85" s="6" t="s">
        <v>80</v>
      </c>
      <c r="C85" s="5" t="n">
        <v>194</v>
      </c>
      <c r="D85" s="6" t="s">
        <v>111</v>
      </c>
      <c r="E85" s="5" t="s">
        <v>30</v>
      </c>
      <c r="F85" s="5" t="s">
        <v>28</v>
      </c>
      <c r="G85" s="7" t="n">
        <v>41800000</v>
      </c>
      <c r="H85" s="7" t="n">
        <v>33067714</v>
      </c>
      <c r="I85" s="8" t="n">
        <f aca="false">IFERROR(H85/G85,0)</f>
        <v>0.791093636363636</v>
      </c>
      <c r="J85" s="9" t="n">
        <v>49050000</v>
      </c>
      <c r="K85" s="9" t="n">
        <v>36561726</v>
      </c>
      <c r="L85" s="8" t="n">
        <f aca="false">IFERROR(K85/J85,0)</f>
        <v>0.745397064220184</v>
      </c>
      <c r="M85" s="8" t="n">
        <f aca="false">IFERROR(J85/H85-1,0)</f>
        <v>0.483319953716789</v>
      </c>
      <c r="N85" s="9" t="n">
        <f aca="false">K85-J85</f>
        <v>-12488274</v>
      </c>
      <c r="O85" s="9" t="n">
        <f aca="false">MAX(N85,0)</f>
        <v>0</v>
      </c>
      <c r="P85" s="9" t="n">
        <f aca="false">MIN(N85,0)</f>
        <v>-12488274</v>
      </c>
      <c r="Q85" s="8" t="n">
        <f aca="false">ROUND(L85,2)</f>
        <v>0.75</v>
      </c>
    </row>
    <row r="86" customFormat="false" ht="15" hidden="false" customHeight="false" outlineLevel="0" collapsed="false">
      <c r="A86" s="5" t="n">
        <v>82</v>
      </c>
      <c r="B86" s="6" t="s">
        <v>60</v>
      </c>
      <c r="C86" s="5" t="n">
        <v>195</v>
      </c>
      <c r="D86" s="6" t="s">
        <v>112</v>
      </c>
      <c r="E86" s="5" t="s">
        <v>30</v>
      </c>
      <c r="F86" s="5" t="s">
        <v>28</v>
      </c>
      <c r="G86" s="7" t="n">
        <v>40850000</v>
      </c>
      <c r="H86" s="7" t="n">
        <v>33954328</v>
      </c>
      <c r="I86" s="8" t="n">
        <f aca="false">IFERROR(H86/G86,0)</f>
        <v>0.831195299877601</v>
      </c>
      <c r="J86" s="9" t="n">
        <v>47320000</v>
      </c>
      <c r="K86" s="9" t="n">
        <v>44181883</v>
      </c>
      <c r="L86" s="8" t="n">
        <f aca="false">IFERROR(K86/J86,0)</f>
        <v>0.933683072696534</v>
      </c>
      <c r="M86" s="8" t="n">
        <f aca="false">IFERROR(J86/H86-1,0)</f>
        <v>0.393636769957574</v>
      </c>
      <c r="N86" s="9" t="n">
        <f aca="false">K86-J86</f>
        <v>-3138117</v>
      </c>
      <c r="O86" s="9" t="n">
        <f aca="false">MAX(N86,0)</f>
        <v>0</v>
      </c>
      <c r="P86" s="9" t="n">
        <f aca="false">MIN(N86,0)</f>
        <v>-3138117</v>
      </c>
      <c r="Q86" s="8" t="n">
        <f aca="false">ROUND(L86,2)</f>
        <v>0.93</v>
      </c>
    </row>
    <row r="87" customFormat="false" ht="15" hidden="false" customHeight="false" outlineLevel="0" collapsed="false">
      <c r="A87" s="5" t="n">
        <v>83</v>
      </c>
      <c r="B87" s="6" t="s">
        <v>80</v>
      </c>
      <c r="C87" s="5" t="n">
        <v>196</v>
      </c>
      <c r="D87" s="6" t="s">
        <v>113</v>
      </c>
      <c r="E87" s="5" t="s">
        <v>24</v>
      </c>
      <c r="F87" s="5" t="s">
        <v>28</v>
      </c>
      <c r="G87" s="7" t="n">
        <v>44400000</v>
      </c>
      <c r="H87" s="7" t="n">
        <v>30522841</v>
      </c>
      <c r="I87" s="8" t="n">
        <f aca="false">IFERROR(H87/G87,0)</f>
        <v>0.687451373873874</v>
      </c>
      <c r="J87" s="9" t="n">
        <v>53910000</v>
      </c>
      <c r="K87" s="9" t="n">
        <v>52883916</v>
      </c>
      <c r="L87" s="8" t="n">
        <f aca="false">IFERROR(K87/J87,0)</f>
        <v>0.980966722314969</v>
      </c>
      <c r="M87" s="8" t="n">
        <f aca="false">IFERROR(J87/H87-1,0)</f>
        <v>0.766218288789042</v>
      </c>
      <c r="N87" s="9" t="n">
        <f aca="false">K87-J87</f>
        <v>-1026084</v>
      </c>
      <c r="O87" s="9" t="n">
        <f aca="false">MAX(N87,0)</f>
        <v>0</v>
      </c>
      <c r="P87" s="9" t="n">
        <f aca="false">MIN(N87,0)</f>
        <v>-1026084</v>
      </c>
      <c r="Q87" s="8" t="n">
        <f aca="false">ROUND(L87,2)</f>
        <v>0.98</v>
      </c>
    </row>
    <row r="88" customFormat="false" ht="15" hidden="false" customHeight="false" outlineLevel="0" collapsed="false">
      <c r="A88" s="5" t="n">
        <v>84</v>
      </c>
      <c r="B88" s="6" t="s">
        <v>80</v>
      </c>
      <c r="C88" s="5" t="n">
        <v>197</v>
      </c>
      <c r="D88" s="6" t="s">
        <v>114</v>
      </c>
      <c r="E88" s="5" t="s">
        <v>27</v>
      </c>
      <c r="F88" s="5" t="s">
        <v>28</v>
      </c>
      <c r="G88" s="7" t="n">
        <v>25170000</v>
      </c>
      <c r="H88" s="7" t="n">
        <v>23616693</v>
      </c>
      <c r="I88" s="8" t="n">
        <f aca="false">IFERROR(H88/G88,0)</f>
        <v>0.9382873659118</v>
      </c>
      <c r="J88" s="9" t="n">
        <v>33530000</v>
      </c>
      <c r="K88" s="9" t="n">
        <v>27985794</v>
      </c>
      <c r="L88" s="8" t="n">
        <f aca="false">IFERROR(K88/J88,0)</f>
        <v>0.834649388607217</v>
      </c>
      <c r="M88" s="8" t="n">
        <f aca="false">IFERROR(J88/H88-1,0)</f>
        <v>0.419758473381519</v>
      </c>
      <c r="N88" s="9" t="n">
        <f aca="false">K88-J88</f>
        <v>-5544206</v>
      </c>
      <c r="O88" s="9" t="n">
        <f aca="false">MAX(N88,0)</f>
        <v>0</v>
      </c>
      <c r="P88" s="9" t="n">
        <f aca="false">MIN(N88,0)</f>
        <v>-5544206</v>
      </c>
      <c r="Q88" s="8" t="n">
        <f aca="false">ROUND(L88,2)</f>
        <v>0.83</v>
      </c>
    </row>
    <row r="89" customFormat="false" ht="15" hidden="false" customHeight="false" outlineLevel="0" collapsed="false">
      <c r="A89" s="5" t="n">
        <v>85</v>
      </c>
      <c r="B89" s="6" t="s">
        <v>80</v>
      </c>
      <c r="C89" s="5" t="n">
        <v>199</v>
      </c>
      <c r="D89" s="6" t="s">
        <v>115</v>
      </c>
      <c r="E89" s="5" t="s">
        <v>28</v>
      </c>
      <c r="F89" s="5" t="s">
        <v>22</v>
      </c>
      <c r="G89" s="7" t="n">
        <v>34740000</v>
      </c>
      <c r="H89" s="7" t="n">
        <v>38615072</v>
      </c>
      <c r="I89" s="8" t="n">
        <f aca="false">IFERROR(H89/G89,0)</f>
        <v>1.11154496257916</v>
      </c>
      <c r="J89" s="9" t="n">
        <v>42110000</v>
      </c>
      <c r="K89" s="9" t="n">
        <v>58292427</v>
      </c>
      <c r="L89" s="8" t="n">
        <f aca="false">IFERROR(K89/J89,0)</f>
        <v>1.38428940869152</v>
      </c>
      <c r="M89" s="8" t="n">
        <f aca="false">IFERROR(J89/H89-1,0)</f>
        <v>0.0905068362943879</v>
      </c>
      <c r="N89" s="9" t="n">
        <f aca="false">K89-J89</f>
        <v>16182427</v>
      </c>
      <c r="O89" s="9" t="n">
        <f aca="false">MAX(N89,0)</f>
        <v>16182427</v>
      </c>
      <c r="P89" s="9" t="n">
        <f aca="false">MIN(N89,0)</f>
        <v>0</v>
      </c>
      <c r="Q89" s="8" t="n">
        <f aca="false">ROUND(L89,2)</f>
        <v>1.38</v>
      </c>
    </row>
    <row r="90" customFormat="false" ht="15" hidden="false" customHeight="false" outlineLevel="0" collapsed="false">
      <c r="A90" s="5" t="n">
        <v>86</v>
      </c>
      <c r="B90" s="6" t="s">
        <v>60</v>
      </c>
      <c r="C90" s="5" t="n">
        <v>200</v>
      </c>
      <c r="D90" s="6" t="s">
        <v>116</v>
      </c>
      <c r="E90" s="5" t="s">
        <v>24</v>
      </c>
      <c r="F90" s="5" t="s">
        <v>28</v>
      </c>
      <c r="G90" s="7" t="n">
        <v>37980000</v>
      </c>
      <c r="H90" s="7" t="n">
        <v>27549976</v>
      </c>
      <c r="I90" s="8" t="n">
        <f aca="false">IFERROR(H90/G90,0)</f>
        <v>0.725381147972617</v>
      </c>
      <c r="J90" s="9" t="n">
        <v>46120000</v>
      </c>
      <c r="K90" s="9" t="n">
        <v>38909027</v>
      </c>
      <c r="L90" s="8" t="n">
        <f aca="false">IFERROR(K90/J90,0)</f>
        <v>0.843647593235039</v>
      </c>
      <c r="M90" s="8" t="n">
        <f aca="false">IFERROR(J90/H90-1,0)</f>
        <v>0.674048645269237</v>
      </c>
      <c r="N90" s="9" t="n">
        <f aca="false">K90-J90</f>
        <v>-7210973</v>
      </c>
      <c r="O90" s="9" t="n">
        <f aca="false">MAX(N90,0)</f>
        <v>0</v>
      </c>
      <c r="P90" s="9" t="n">
        <f aca="false">MIN(N90,0)</f>
        <v>-7210973</v>
      </c>
      <c r="Q90" s="8" t="n">
        <f aca="false">ROUND(L90,2)</f>
        <v>0.84</v>
      </c>
    </row>
    <row r="91" customFormat="false" ht="15" hidden="false" customHeight="false" outlineLevel="0" collapsed="false">
      <c r="A91" s="5" t="n">
        <v>87</v>
      </c>
      <c r="B91" s="6" t="s">
        <v>60</v>
      </c>
      <c r="C91" s="5" t="n">
        <v>201</v>
      </c>
      <c r="D91" s="6" t="s">
        <v>117</v>
      </c>
      <c r="E91" s="5" t="s">
        <v>30</v>
      </c>
      <c r="F91" s="5" t="s">
        <v>28</v>
      </c>
      <c r="G91" s="7" t="n">
        <v>44670000</v>
      </c>
      <c r="H91" s="7" t="n">
        <v>39270800</v>
      </c>
      <c r="I91" s="8" t="n">
        <f aca="false">IFERROR(H91/G91,0)</f>
        <v>0.879131408103873</v>
      </c>
      <c r="J91" s="9" t="n">
        <v>51890000</v>
      </c>
      <c r="K91" s="9" t="n">
        <v>50826486</v>
      </c>
      <c r="L91" s="8" t="n">
        <f aca="false">IFERROR(K91/J91,0)</f>
        <v>0.979504451724803</v>
      </c>
      <c r="M91" s="8" t="n">
        <f aca="false">IFERROR(J91/H91-1,0)</f>
        <v>0.321337991586624</v>
      </c>
      <c r="N91" s="9" t="n">
        <f aca="false">K91-J91</f>
        <v>-1063514</v>
      </c>
      <c r="O91" s="9" t="n">
        <f aca="false">MAX(N91,0)</f>
        <v>0</v>
      </c>
      <c r="P91" s="9" t="n">
        <f aca="false">MIN(N91,0)</f>
        <v>-1063514</v>
      </c>
      <c r="Q91" s="8" t="n">
        <f aca="false">ROUND(L91,2)</f>
        <v>0.98</v>
      </c>
    </row>
    <row r="92" customFormat="false" ht="15" hidden="false" customHeight="false" outlineLevel="0" collapsed="false">
      <c r="A92" s="5" t="n">
        <v>88</v>
      </c>
      <c r="B92" s="6" t="s">
        <v>60</v>
      </c>
      <c r="C92" s="5" t="n">
        <v>211</v>
      </c>
      <c r="D92" s="6" t="s">
        <v>118</v>
      </c>
      <c r="E92" s="5" t="s">
        <v>28</v>
      </c>
      <c r="F92" s="5" t="s">
        <v>22</v>
      </c>
      <c r="G92" s="7" t="n">
        <v>43630000</v>
      </c>
      <c r="H92" s="7" t="n">
        <v>49395895</v>
      </c>
      <c r="I92" s="8" t="n">
        <f aca="false">IFERROR(H92/G92,0)</f>
        <v>1.13215436626175</v>
      </c>
      <c r="J92" s="9" t="n">
        <v>53780000</v>
      </c>
      <c r="K92" s="9" t="n">
        <v>79114408</v>
      </c>
      <c r="L92" s="8" t="n">
        <f aca="false">IFERROR(K92/J92,0)</f>
        <v>1.4710748977315</v>
      </c>
      <c r="M92" s="8" t="n">
        <f aca="false">IFERROR(J92/H92-1,0)</f>
        <v>0.0887544400197629</v>
      </c>
      <c r="N92" s="9" t="n">
        <f aca="false">K92-J92</f>
        <v>25334408</v>
      </c>
      <c r="O92" s="9" t="n">
        <f aca="false">MAX(N92,0)</f>
        <v>25334408</v>
      </c>
      <c r="P92" s="9" t="n">
        <f aca="false">MIN(N92,0)</f>
        <v>0</v>
      </c>
      <c r="Q92" s="8" t="n">
        <f aca="false">ROUND(L92,2)</f>
        <v>1.47</v>
      </c>
    </row>
    <row r="93" customFormat="false" ht="15" hidden="false" customHeight="false" outlineLevel="0" collapsed="false">
      <c r="A93" s="5" t="n">
        <v>89</v>
      </c>
      <c r="B93" s="6" t="s">
        <v>60</v>
      </c>
      <c r="C93" s="5" t="n">
        <v>220</v>
      </c>
      <c r="D93" s="6" t="s">
        <v>119</v>
      </c>
      <c r="E93" s="5" t="s">
        <v>30</v>
      </c>
      <c r="F93" s="5" t="s">
        <v>22</v>
      </c>
      <c r="G93" s="7" t="n">
        <v>36640000</v>
      </c>
      <c r="H93" s="7" t="n">
        <v>32646480</v>
      </c>
      <c r="I93" s="8" t="n">
        <f aca="false">IFERROR(H93/G93,0)</f>
        <v>0.891006550218341</v>
      </c>
      <c r="J93" s="9" t="n">
        <v>42760000</v>
      </c>
      <c r="K93" s="9" t="n">
        <v>52028367</v>
      </c>
      <c r="L93" s="8" t="n">
        <f aca="false">IFERROR(K93/J93,0)</f>
        <v>1.21675320392891</v>
      </c>
      <c r="M93" s="8" t="n">
        <f aca="false">IFERROR(J93/H93-1,0)</f>
        <v>0.309788987970526</v>
      </c>
      <c r="N93" s="9" t="n">
        <f aca="false">K93-J93</f>
        <v>9268367</v>
      </c>
      <c r="O93" s="9" t="n">
        <f aca="false">MAX(N93,0)</f>
        <v>9268367</v>
      </c>
      <c r="P93" s="9" t="n">
        <f aca="false">MIN(N93,0)</f>
        <v>0</v>
      </c>
      <c r="Q93" s="8" t="n">
        <f aca="false">ROUND(L93,2)</f>
        <v>1.22</v>
      </c>
    </row>
    <row r="94" customFormat="false" ht="15" hidden="false" customHeight="false" outlineLevel="0" collapsed="false">
      <c r="A94" s="5" t="n">
        <v>90</v>
      </c>
      <c r="B94" s="6" t="s">
        <v>60</v>
      </c>
      <c r="C94" s="5" t="n">
        <v>221</v>
      </c>
      <c r="D94" s="6" t="s">
        <v>120</v>
      </c>
      <c r="E94" s="5" t="s">
        <v>27</v>
      </c>
      <c r="F94" s="5" t="s">
        <v>21</v>
      </c>
      <c r="G94" s="7" t="n">
        <v>38480000</v>
      </c>
      <c r="H94" s="7" t="n">
        <v>35547429</v>
      </c>
      <c r="I94" s="8" t="n">
        <f aca="false">IFERROR(H94/G94,0)</f>
        <v>0.923789734927235</v>
      </c>
      <c r="J94" s="9" t="n">
        <v>42840000</v>
      </c>
      <c r="K94" s="9" t="n">
        <v>46798736</v>
      </c>
      <c r="L94" s="8" t="n">
        <f aca="false">IFERROR(K94/J94,0)</f>
        <v>1.09240746965453</v>
      </c>
      <c r="M94" s="8" t="n">
        <f aca="false">IFERROR(J94/H94-1,0)</f>
        <v>0.205150448433275</v>
      </c>
      <c r="N94" s="9" t="n">
        <f aca="false">K94-J94</f>
        <v>3958736</v>
      </c>
      <c r="O94" s="9" t="n">
        <f aca="false">MAX(N94,0)</f>
        <v>3958736</v>
      </c>
      <c r="P94" s="9" t="n">
        <f aca="false">MIN(N94,0)</f>
        <v>0</v>
      </c>
      <c r="Q94" s="8" t="n">
        <f aca="false">ROUND(L94,2)</f>
        <v>1.09</v>
      </c>
    </row>
    <row r="95" customFormat="false" ht="15" hidden="false" customHeight="false" outlineLevel="0" collapsed="false">
      <c r="A95" s="5" t="n">
        <v>91</v>
      </c>
      <c r="B95" s="6" t="s">
        <v>80</v>
      </c>
      <c r="C95" s="5" t="n">
        <v>240</v>
      </c>
      <c r="D95" s="6" t="s">
        <v>121</v>
      </c>
      <c r="E95" s="5" t="s">
        <v>25</v>
      </c>
      <c r="F95" s="5" t="s">
        <v>22</v>
      </c>
      <c r="G95" s="7" t="n">
        <v>76040000</v>
      </c>
      <c r="H95" s="7" t="n">
        <v>80156260</v>
      </c>
      <c r="I95" s="8" t="n">
        <f aca="false">IFERROR(H95/G95,0)</f>
        <v>1.05413282482904</v>
      </c>
      <c r="J95" s="9" t="n">
        <v>88890000</v>
      </c>
      <c r="K95" s="9" t="n">
        <v>107901864</v>
      </c>
      <c r="L95" s="8" t="n">
        <f aca="false">IFERROR(K95/J95,0)</f>
        <v>1.21388079649004</v>
      </c>
      <c r="M95" s="8" t="n">
        <f aca="false">IFERROR(J95/H95-1,0)</f>
        <v>0.108958925977834</v>
      </c>
      <c r="N95" s="9" t="n">
        <f aca="false">K95-J95</f>
        <v>19011864</v>
      </c>
      <c r="O95" s="9" t="n">
        <f aca="false">MAX(N95,0)</f>
        <v>19011864</v>
      </c>
      <c r="P95" s="9" t="n">
        <f aca="false">MIN(N95,0)</f>
        <v>0</v>
      </c>
      <c r="Q95" s="8" t="n">
        <f aca="false">ROUND(L95,2)</f>
        <v>1.21</v>
      </c>
    </row>
    <row r="96" customFormat="false" ht="15" hidden="false" customHeight="false" outlineLevel="0" collapsed="false">
      <c r="A96" s="5" t="n">
        <v>92</v>
      </c>
      <c r="B96" s="6" t="s">
        <v>80</v>
      </c>
      <c r="C96" s="5" t="n">
        <v>241</v>
      </c>
      <c r="D96" s="6" t="s">
        <v>122</v>
      </c>
      <c r="E96" s="5" t="s">
        <v>30</v>
      </c>
      <c r="F96" s="5" t="s">
        <v>21</v>
      </c>
      <c r="G96" s="7" t="n">
        <v>82580000</v>
      </c>
      <c r="H96" s="7" t="n">
        <v>64183015</v>
      </c>
      <c r="I96" s="8" t="n">
        <f aca="false">IFERROR(H96/G96,0)</f>
        <v>0.777222269314604</v>
      </c>
      <c r="J96" s="9" t="n">
        <v>95850000</v>
      </c>
      <c r="K96" s="9" t="n">
        <v>106580847</v>
      </c>
      <c r="L96" s="8" t="n">
        <f aca="false">IFERROR(K96/J96,0)</f>
        <v>1.11195458528952</v>
      </c>
      <c r="M96" s="8" t="n">
        <f aca="false">IFERROR(J96/H96-1,0)</f>
        <v>0.493385750108498</v>
      </c>
      <c r="N96" s="9" t="n">
        <f aca="false">K96-J96</f>
        <v>10730847</v>
      </c>
      <c r="O96" s="9" t="n">
        <f aca="false">MAX(N96,0)</f>
        <v>10730847</v>
      </c>
      <c r="P96" s="9" t="n">
        <f aca="false">MIN(N96,0)</f>
        <v>0</v>
      </c>
      <c r="Q96" s="8" t="n">
        <f aca="false">ROUND(L96,2)</f>
        <v>1.11</v>
      </c>
    </row>
    <row r="97" customFormat="false" ht="15" hidden="false" customHeight="false" outlineLevel="0" collapsed="false">
      <c r="A97" s="5" t="n">
        <v>93</v>
      </c>
      <c r="B97" s="6" t="s">
        <v>80</v>
      </c>
      <c r="C97" s="5" t="n">
        <v>242</v>
      </c>
      <c r="D97" s="6" t="s">
        <v>123</v>
      </c>
      <c r="E97" s="5" t="s">
        <v>30</v>
      </c>
      <c r="F97" s="5" t="s">
        <v>21</v>
      </c>
      <c r="G97" s="7" t="n">
        <v>78240000</v>
      </c>
      <c r="H97" s="7" t="n">
        <v>69278708</v>
      </c>
      <c r="I97" s="8" t="n">
        <f aca="false">IFERROR(H97/G97,0)</f>
        <v>0.885464059304704</v>
      </c>
      <c r="J97" s="9" t="n">
        <v>90750000</v>
      </c>
      <c r="K97" s="9" t="n">
        <v>91803483</v>
      </c>
      <c r="L97" s="8" t="n">
        <f aca="false">IFERROR(K97/J97,0)</f>
        <v>1.01160862809917</v>
      </c>
      <c r="M97" s="8" t="n">
        <f aca="false">IFERROR(J97/H97-1,0)</f>
        <v>0.309926276338756</v>
      </c>
      <c r="N97" s="9" t="n">
        <f aca="false">K97-J97</f>
        <v>1053483</v>
      </c>
      <c r="O97" s="9" t="n">
        <f aca="false">MAX(N97,0)</f>
        <v>1053483</v>
      </c>
      <c r="P97" s="9" t="n">
        <f aca="false">MIN(N97,0)</f>
        <v>0</v>
      </c>
      <c r="Q97" s="8" t="n">
        <f aca="false">ROUND(L97,2)</f>
        <v>1.01</v>
      </c>
    </row>
    <row r="98" customFormat="false" ht="15" hidden="false" customHeight="false" outlineLevel="0" collapsed="false">
      <c r="A98" s="5" t="n">
        <v>94</v>
      </c>
      <c r="B98" s="6" t="s">
        <v>80</v>
      </c>
      <c r="C98" s="5" t="n">
        <v>243</v>
      </c>
      <c r="D98" s="6" t="s">
        <v>124</v>
      </c>
      <c r="E98" s="5" t="s">
        <v>27</v>
      </c>
      <c r="F98" s="5" t="s">
        <v>28</v>
      </c>
      <c r="G98" s="7" t="n">
        <v>59770000</v>
      </c>
      <c r="H98" s="7" t="n">
        <v>55661200</v>
      </c>
      <c r="I98" s="8" t="n">
        <f aca="false">IFERROR(H98/G98,0)</f>
        <v>0.931256483185545</v>
      </c>
      <c r="J98" s="9" t="n">
        <v>66240000</v>
      </c>
      <c r="K98" s="9" t="n">
        <v>55810563</v>
      </c>
      <c r="L98" s="8" t="n">
        <f aca="false">IFERROR(K98/J98,0)</f>
        <v>0.842550769927536</v>
      </c>
      <c r="M98" s="8" t="n">
        <f aca="false">IFERROR(J98/H98-1,0)</f>
        <v>0.190056987632318</v>
      </c>
      <c r="N98" s="9" t="n">
        <f aca="false">K98-J98</f>
        <v>-10429437</v>
      </c>
      <c r="O98" s="9" t="n">
        <f aca="false">MAX(N98,0)</f>
        <v>0</v>
      </c>
      <c r="P98" s="9" t="n">
        <f aca="false">MIN(N98,0)</f>
        <v>-10429437</v>
      </c>
      <c r="Q98" s="8" t="n">
        <f aca="false">ROUND(L98,2)</f>
        <v>0.84</v>
      </c>
    </row>
    <row r="99" customFormat="false" ht="15" hidden="false" customHeight="false" outlineLevel="0" collapsed="false">
      <c r="A99" s="5" t="n">
        <v>95</v>
      </c>
      <c r="B99" s="6" t="s">
        <v>80</v>
      </c>
      <c r="C99" s="5" t="n">
        <v>244</v>
      </c>
      <c r="D99" s="6" t="s">
        <v>125</v>
      </c>
      <c r="E99" s="5" t="s">
        <v>22</v>
      </c>
      <c r="F99" s="5" t="s">
        <v>21</v>
      </c>
      <c r="G99" s="7" t="n">
        <v>68260000</v>
      </c>
      <c r="H99" s="7" t="n">
        <v>91651371</v>
      </c>
      <c r="I99" s="8" t="n">
        <f aca="false">IFERROR(H99/G99,0)</f>
        <v>1.34268050102549</v>
      </c>
      <c r="J99" s="9" t="n">
        <v>86720000</v>
      </c>
      <c r="K99" s="9" t="n">
        <v>101727026</v>
      </c>
      <c r="L99" s="8" t="n">
        <f aca="false">IFERROR(K99/J99,0)</f>
        <v>1.17305149907749</v>
      </c>
      <c r="M99" s="8" t="n">
        <f aca="false">IFERROR(J99/H99-1,0)</f>
        <v>-0.0538057526711739</v>
      </c>
      <c r="N99" s="9" t="n">
        <f aca="false">K99-J99</f>
        <v>15007026</v>
      </c>
      <c r="O99" s="9" t="n">
        <f aca="false">MAX(N99,0)</f>
        <v>15007026</v>
      </c>
      <c r="P99" s="9" t="n">
        <f aca="false">MIN(N99,0)</f>
        <v>0</v>
      </c>
      <c r="Q99" s="8" t="n">
        <f aca="false">ROUND(L99,2)</f>
        <v>1.17</v>
      </c>
    </row>
    <row r="100" customFormat="false" ht="15" hidden="false" customHeight="false" outlineLevel="0" collapsed="false">
      <c r="A100" s="5" t="n">
        <v>96</v>
      </c>
      <c r="B100" s="6" t="s">
        <v>80</v>
      </c>
      <c r="C100" s="5" t="n">
        <v>245</v>
      </c>
      <c r="D100" s="6" t="s">
        <v>126</v>
      </c>
      <c r="E100" s="5" t="s">
        <v>27</v>
      </c>
      <c r="F100" s="5" t="s">
        <v>22</v>
      </c>
      <c r="G100" s="7" t="n">
        <v>48310000</v>
      </c>
      <c r="H100" s="7" t="n">
        <v>45644340</v>
      </c>
      <c r="I100" s="8" t="n">
        <f aca="false">IFERROR(H100/G100,0)</f>
        <v>0.944821776029808</v>
      </c>
      <c r="J100" s="9" t="n">
        <v>53800000</v>
      </c>
      <c r="K100" s="9" t="n">
        <v>69926506</v>
      </c>
      <c r="L100" s="8" t="n">
        <f aca="false">IFERROR(K100/J100,0)</f>
        <v>1.29974918215613</v>
      </c>
      <c r="M100" s="8" t="n">
        <f aca="false">IFERROR(J100/H100-1,0)</f>
        <v>0.178678451698502</v>
      </c>
      <c r="N100" s="9" t="n">
        <f aca="false">K100-J100</f>
        <v>16126506</v>
      </c>
      <c r="O100" s="9" t="n">
        <f aca="false">MAX(N100,0)</f>
        <v>16126506</v>
      </c>
      <c r="P100" s="9" t="n">
        <f aca="false">MIN(N100,0)</f>
        <v>0</v>
      </c>
      <c r="Q100" s="8" t="n">
        <f aca="false">ROUND(L100,2)</f>
        <v>1.3</v>
      </c>
    </row>
    <row r="101" customFormat="false" ht="15" hidden="false" customHeight="false" outlineLevel="0" collapsed="false">
      <c r="A101" s="5" t="n">
        <v>97</v>
      </c>
      <c r="B101" s="6" t="s">
        <v>80</v>
      </c>
      <c r="C101" s="5" t="n">
        <v>246</v>
      </c>
      <c r="D101" s="6" t="s">
        <v>127</v>
      </c>
      <c r="E101" s="5" t="s">
        <v>25</v>
      </c>
      <c r="F101" s="5" t="s">
        <v>28</v>
      </c>
      <c r="G101" s="7" t="n">
        <v>50290000</v>
      </c>
      <c r="H101" s="7" t="n">
        <v>52846461</v>
      </c>
      <c r="I101" s="8" t="n">
        <f aca="false">IFERROR(H101/G101,0)</f>
        <v>1.05083438059256</v>
      </c>
      <c r="J101" s="9" t="n">
        <v>58750000</v>
      </c>
      <c r="K101" s="9" t="n">
        <v>57385143</v>
      </c>
      <c r="L101" s="8" t="n">
        <f aca="false">IFERROR(K101/J101,0)</f>
        <v>0.976768391489362</v>
      </c>
      <c r="M101" s="8" t="n">
        <f aca="false">IFERROR(J101/H101-1,0)</f>
        <v>0.111711151291664</v>
      </c>
      <c r="N101" s="9" t="n">
        <f aca="false">K101-J101</f>
        <v>-1364857</v>
      </c>
      <c r="O101" s="9" t="n">
        <f aca="false">MAX(N101,0)</f>
        <v>0</v>
      </c>
      <c r="P101" s="9" t="n">
        <f aca="false">MIN(N101,0)</f>
        <v>-1364857</v>
      </c>
      <c r="Q101" s="8" t="n">
        <f aca="false">ROUND(L101,2)</f>
        <v>0.98</v>
      </c>
    </row>
    <row r="102" customFormat="false" ht="15" hidden="false" customHeight="false" outlineLevel="0" collapsed="false">
      <c r="A102" s="5" t="n">
        <v>98</v>
      </c>
      <c r="B102" s="6" t="s">
        <v>80</v>
      </c>
      <c r="C102" s="5" t="n">
        <v>247</v>
      </c>
      <c r="D102" s="6" t="s">
        <v>128</v>
      </c>
      <c r="E102" s="5" t="s">
        <v>27</v>
      </c>
      <c r="F102" s="5" t="s">
        <v>22</v>
      </c>
      <c r="G102" s="7" t="n">
        <v>53730000</v>
      </c>
      <c r="H102" s="7" t="n">
        <v>50947173</v>
      </c>
      <c r="I102" s="8" t="n">
        <f aca="false">IFERROR(H102/G102,0)</f>
        <v>0.948207202680067</v>
      </c>
      <c r="J102" s="9" t="n">
        <v>59780000</v>
      </c>
      <c r="K102" s="9" t="n">
        <v>81347580</v>
      </c>
      <c r="L102" s="8" t="n">
        <f aca="false">IFERROR(K102/J102,0)</f>
        <v>1.36078253596521</v>
      </c>
      <c r="M102" s="8" t="n">
        <f aca="false">IFERROR(J102/H102-1,0)</f>
        <v>0.17337226935045</v>
      </c>
      <c r="N102" s="9" t="n">
        <f aca="false">K102-J102</f>
        <v>21567580</v>
      </c>
      <c r="O102" s="9" t="n">
        <f aca="false">MAX(N102,0)</f>
        <v>21567580</v>
      </c>
      <c r="P102" s="9" t="n">
        <f aca="false">MIN(N102,0)</f>
        <v>0</v>
      </c>
      <c r="Q102" s="8" t="n">
        <f aca="false">ROUND(L102,2)</f>
        <v>1.36</v>
      </c>
    </row>
    <row r="103" customFormat="false" ht="15" hidden="false" customHeight="false" outlineLevel="0" collapsed="false">
      <c r="A103" s="5" t="n">
        <v>99</v>
      </c>
      <c r="B103" s="6" t="s">
        <v>80</v>
      </c>
      <c r="C103" s="5" t="n">
        <v>248</v>
      </c>
      <c r="D103" s="6" t="s">
        <v>129</v>
      </c>
      <c r="E103" s="5" t="s">
        <v>30</v>
      </c>
      <c r="F103" s="5" t="s">
        <v>22</v>
      </c>
      <c r="G103" s="7" t="n">
        <v>53910000</v>
      </c>
      <c r="H103" s="7" t="n">
        <v>43610429</v>
      </c>
      <c r="I103" s="8" t="n">
        <f aca="false">IFERROR(H103/G103,0)</f>
        <v>0.808948785012057</v>
      </c>
      <c r="J103" s="9" t="n">
        <v>62590000</v>
      </c>
      <c r="K103" s="9" t="n">
        <v>75643659</v>
      </c>
      <c r="L103" s="8" t="n">
        <f aca="false">IFERROR(K103/J103,0)</f>
        <v>1.20855822016297</v>
      </c>
      <c r="M103" s="8" t="n">
        <f aca="false">IFERROR(J103/H103-1,0)</f>
        <v>0.43520716111277</v>
      </c>
      <c r="N103" s="9" t="n">
        <f aca="false">K103-J103</f>
        <v>13053659</v>
      </c>
      <c r="O103" s="9" t="n">
        <f aca="false">MAX(N103,0)</f>
        <v>13053659</v>
      </c>
      <c r="P103" s="9" t="n">
        <f aca="false">MIN(N103,0)</f>
        <v>0</v>
      </c>
      <c r="Q103" s="8" t="n">
        <f aca="false">ROUND(L103,2)</f>
        <v>1.21</v>
      </c>
    </row>
    <row r="104" customFormat="false" ht="15" hidden="false" customHeight="false" outlineLevel="0" collapsed="false">
      <c r="A104" s="5" t="n">
        <v>100</v>
      </c>
      <c r="B104" s="6" t="s">
        <v>80</v>
      </c>
      <c r="C104" s="5" t="n">
        <v>249</v>
      </c>
      <c r="D104" s="6" t="s">
        <v>130</v>
      </c>
      <c r="E104" s="5" t="s">
        <v>22</v>
      </c>
      <c r="F104" s="5" t="s">
        <v>22</v>
      </c>
      <c r="G104" s="7" t="n">
        <v>36510000</v>
      </c>
      <c r="H104" s="7" t="n">
        <v>51701920</v>
      </c>
      <c r="I104" s="8" t="n">
        <f aca="false">IFERROR(H104/G104,0)</f>
        <v>1.41610298548343</v>
      </c>
      <c r="J104" s="9" t="n">
        <v>48750000</v>
      </c>
      <c r="K104" s="9" t="n">
        <v>63209896</v>
      </c>
      <c r="L104" s="8" t="n">
        <f aca="false">IFERROR(K104/J104,0)</f>
        <v>1.29661325128205</v>
      </c>
      <c r="M104" s="8" t="n">
        <f aca="false">IFERROR(J104/H104-1,0)</f>
        <v>-0.0570949782909416</v>
      </c>
      <c r="N104" s="9" t="n">
        <f aca="false">K104-J104</f>
        <v>14459896</v>
      </c>
      <c r="O104" s="9" t="n">
        <f aca="false">MAX(N104,0)</f>
        <v>14459896</v>
      </c>
      <c r="P104" s="9" t="n">
        <f aca="false">MIN(N104,0)</f>
        <v>0</v>
      </c>
      <c r="Q104" s="8" t="n">
        <f aca="false">ROUND(L104,2)</f>
        <v>1.3</v>
      </c>
    </row>
    <row r="105" customFormat="false" ht="15" hidden="false" customHeight="false" outlineLevel="0" collapsed="false">
      <c r="A105" s="5" t="n">
        <v>101</v>
      </c>
      <c r="B105" s="6" t="s">
        <v>80</v>
      </c>
      <c r="C105" s="5" t="n">
        <v>250</v>
      </c>
      <c r="D105" s="6" t="s">
        <v>131</v>
      </c>
      <c r="E105" s="5" t="s">
        <v>25</v>
      </c>
      <c r="F105" s="5" t="s">
        <v>22</v>
      </c>
      <c r="G105" s="7" t="n">
        <v>31030000</v>
      </c>
      <c r="H105" s="7" t="n">
        <v>32886340</v>
      </c>
      <c r="I105" s="8" t="n">
        <f aca="false">IFERROR(H105/G105,0)</f>
        <v>1.0598240412504</v>
      </c>
      <c r="J105" s="9" t="n">
        <v>36600000</v>
      </c>
      <c r="K105" s="9" t="n">
        <v>44525345</v>
      </c>
      <c r="L105" s="8" t="n">
        <f aca="false">IFERROR(K105/J105,0)</f>
        <v>1.21653948087432</v>
      </c>
      <c r="M105" s="8" t="n">
        <f aca="false">IFERROR(J105/H105-1,0)</f>
        <v>0.112924089454771</v>
      </c>
      <c r="N105" s="9" t="n">
        <f aca="false">K105-J105</f>
        <v>7925345</v>
      </c>
      <c r="O105" s="9" t="n">
        <f aca="false">MAX(N105,0)</f>
        <v>7925345</v>
      </c>
      <c r="P105" s="9" t="n">
        <f aca="false">MIN(N105,0)</f>
        <v>0</v>
      </c>
      <c r="Q105" s="8" t="n">
        <f aca="false">ROUND(L105,2)</f>
        <v>1.22</v>
      </c>
    </row>
    <row r="106" customFormat="false" ht="15" hidden="false" customHeight="false" outlineLevel="0" collapsed="false">
      <c r="A106" s="5" t="n">
        <v>102</v>
      </c>
      <c r="B106" s="6" t="s">
        <v>80</v>
      </c>
      <c r="C106" s="5" t="n">
        <v>251</v>
      </c>
      <c r="D106" s="6" t="s">
        <v>132</v>
      </c>
      <c r="E106" s="5" t="s">
        <v>27</v>
      </c>
      <c r="F106" s="5" t="s">
        <v>21</v>
      </c>
      <c r="G106" s="7" t="n">
        <v>36250000</v>
      </c>
      <c r="H106" s="7" t="n">
        <v>35311210</v>
      </c>
      <c r="I106" s="8" t="n">
        <f aca="false">IFERROR(H106/G106,0)</f>
        <v>0.974102344827586</v>
      </c>
      <c r="J106" s="9" t="n">
        <v>40520000</v>
      </c>
      <c r="K106" s="9" t="n">
        <v>46850859</v>
      </c>
      <c r="L106" s="8" t="n">
        <f aca="false">IFERROR(K106/J106,0)</f>
        <v>1.15624035044423</v>
      </c>
      <c r="M106" s="8" t="n">
        <f aca="false">IFERROR(J106/H106-1,0)</f>
        <v>0.147510946240585</v>
      </c>
      <c r="N106" s="9" t="n">
        <f aca="false">K106-J106</f>
        <v>6330859</v>
      </c>
      <c r="O106" s="9" t="n">
        <f aca="false">MAX(N106,0)</f>
        <v>6330859</v>
      </c>
      <c r="P106" s="9" t="n">
        <f aca="false">MIN(N106,0)</f>
        <v>0</v>
      </c>
      <c r="Q106" s="8" t="n">
        <f aca="false">ROUND(L106,2)</f>
        <v>1.16</v>
      </c>
    </row>
    <row r="107" customFormat="false" ht="15" hidden="false" customHeight="false" outlineLevel="0" collapsed="false">
      <c r="A107" s="5" t="n">
        <v>103</v>
      </c>
      <c r="B107" s="6" t="s">
        <v>80</v>
      </c>
      <c r="C107" s="5" t="n">
        <v>252</v>
      </c>
      <c r="D107" s="6" t="s">
        <v>133</v>
      </c>
      <c r="E107" s="5" t="s">
        <v>24</v>
      </c>
      <c r="F107" s="5" t="s">
        <v>28</v>
      </c>
      <c r="G107" s="7" t="n">
        <v>50340000</v>
      </c>
      <c r="H107" s="7" t="n">
        <v>36718054</v>
      </c>
      <c r="I107" s="8" t="n">
        <f aca="false">IFERROR(H107/G107,0)</f>
        <v>0.729401152165276</v>
      </c>
      <c r="J107" s="9" t="n">
        <v>61310000</v>
      </c>
      <c r="K107" s="9" t="n">
        <v>55431786</v>
      </c>
      <c r="L107" s="8" t="n">
        <f aca="false">IFERROR(K107/J107,0)</f>
        <v>0.904123079432393</v>
      </c>
      <c r="M107" s="8" t="n">
        <f aca="false">IFERROR(J107/H107-1,0)</f>
        <v>0.66975079888493</v>
      </c>
      <c r="N107" s="9" t="n">
        <f aca="false">K107-J107</f>
        <v>-5878214</v>
      </c>
      <c r="O107" s="9" t="n">
        <f aca="false">MAX(N107,0)</f>
        <v>0</v>
      </c>
      <c r="P107" s="9" t="n">
        <f aca="false">MIN(N107,0)</f>
        <v>-5878214</v>
      </c>
      <c r="Q107" s="8" t="n">
        <f aca="false">ROUND(L107,2)</f>
        <v>0.9</v>
      </c>
    </row>
    <row r="108" customFormat="false" ht="15" hidden="false" customHeight="false" outlineLevel="0" collapsed="false">
      <c r="A108" s="5" t="n">
        <v>104</v>
      </c>
      <c r="B108" s="6" t="s">
        <v>80</v>
      </c>
      <c r="C108" s="5" t="n">
        <v>260</v>
      </c>
      <c r="D108" s="6" t="s">
        <v>134</v>
      </c>
      <c r="E108" s="5" t="s">
        <v>28</v>
      </c>
      <c r="F108" s="5" t="s">
        <v>21</v>
      </c>
      <c r="G108" s="7" t="n">
        <v>63970000</v>
      </c>
      <c r="H108" s="7" t="n">
        <v>71202676</v>
      </c>
      <c r="I108" s="8" t="n">
        <f aca="false">IFERROR(H108/G108,0)</f>
        <v>1.11306356104424</v>
      </c>
      <c r="J108" s="9" t="n">
        <v>77470000</v>
      </c>
      <c r="K108" s="9" t="n">
        <v>88959282</v>
      </c>
      <c r="L108" s="8" t="n">
        <f aca="false">IFERROR(K108/J108,0)</f>
        <v>1.14830620885504</v>
      </c>
      <c r="M108" s="8" t="n">
        <f aca="false">IFERROR(J108/H108-1,0)</f>
        <v>0.088020905281706</v>
      </c>
      <c r="N108" s="9" t="n">
        <f aca="false">K108-J108</f>
        <v>11489282</v>
      </c>
      <c r="O108" s="9" t="n">
        <f aca="false">MAX(N108,0)</f>
        <v>11489282</v>
      </c>
      <c r="P108" s="9" t="n">
        <f aca="false">MIN(N108,0)</f>
        <v>0</v>
      </c>
      <c r="Q108" s="8" t="n">
        <f aca="false">ROUND(L108,2)</f>
        <v>1.15</v>
      </c>
    </row>
    <row r="109" customFormat="false" ht="15" hidden="false" customHeight="false" outlineLevel="0" collapsed="false">
      <c r="A109" s="5" t="n">
        <v>105</v>
      </c>
      <c r="B109" s="6" t="s">
        <v>80</v>
      </c>
      <c r="C109" s="5" t="n">
        <v>262</v>
      </c>
      <c r="D109" s="6" t="s">
        <v>135</v>
      </c>
      <c r="E109" s="5" t="s">
        <v>28</v>
      </c>
      <c r="F109" s="5" t="s">
        <v>28</v>
      </c>
      <c r="G109" s="7" t="n">
        <v>47620000</v>
      </c>
      <c r="H109" s="7" t="n">
        <v>54783026</v>
      </c>
      <c r="I109" s="8" t="n">
        <f aca="false">IFERROR(H109/G109,0)</f>
        <v>1.15042053758925</v>
      </c>
      <c r="J109" s="9" t="n">
        <v>59520000</v>
      </c>
      <c r="K109" s="9" t="n">
        <v>55046028</v>
      </c>
      <c r="L109" s="8" t="n">
        <f aca="false">IFERROR(K109/J109,0)</f>
        <v>0.924832459677419</v>
      </c>
      <c r="M109" s="8" t="n">
        <f aca="false">IFERROR(J109/H109-1,0)</f>
        <v>0.0864679143499667</v>
      </c>
      <c r="N109" s="9" t="n">
        <f aca="false">K109-J109</f>
        <v>-4473972</v>
      </c>
      <c r="O109" s="9" t="n">
        <f aca="false">MAX(N109,0)</f>
        <v>0</v>
      </c>
      <c r="P109" s="9" t="n">
        <f aca="false">MIN(N109,0)</f>
        <v>-4473972</v>
      </c>
      <c r="Q109" s="8" t="n">
        <f aca="false">ROUND(L109,2)</f>
        <v>0.92</v>
      </c>
    </row>
    <row r="110" customFormat="false" ht="15" hidden="false" customHeight="false" outlineLevel="0" collapsed="false">
      <c r="A110" s="5" t="n">
        <v>106</v>
      </c>
      <c r="B110" s="6" t="s">
        <v>80</v>
      </c>
      <c r="C110" s="5" t="n">
        <v>268</v>
      </c>
      <c r="D110" s="6" t="s">
        <v>136</v>
      </c>
      <c r="E110" s="5" t="s">
        <v>96</v>
      </c>
      <c r="F110" s="5" t="s">
        <v>96</v>
      </c>
      <c r="G110" s="7" t="n">
        <v>9230000</v>
      </c>
      <c r="H110" s="7" t="n">
        <v>29007602</v>
      </c>
      <c r="I110" s="8" t="n">
        <f aca="false">IFERROR(H110/G110,0)</f>
        <v>3.14275211267606</v>
      </c>
      <c r="J110" s="9" t="n">
        <v>20980000</v>
      </c>
      <c r="K110" s="9" t="n">
        <v>38092596</v>
      </c>
      <c r="L110" s="8" t="n">
        <f aca="false">IFERROR(K110/J110,0)</f>
        <v>1.81566234509056</v>
      </c>
      <c r="M110" s="8" t="n">
        <f aca="false">IFERROR(J110/H110-1,0)</f>
        <v>-0.276741317672519</v>
      </c>
      <c r="N110" s="9" t="n">
        <f aca="false">K110-J110</f>
        <v>17112596</v>
      </c>
      <c r="O110" s="9" t="n">
        <f aca="false">MAX(N110,0)</f>
        <v>17112596</v>
      </c>
      <c r="P110" s="9" t="n">
        <f aca="false">MIN(N110,0)</f>
        <v>0</v>
      </c>
      <c r="Q110" s="8" t="n">
        <f aca="false">ROUND(L110,2)</f>
        <v>1.82</v>
      </c>
    </row>
    <row r="111" customFormat="false" ht="15" hidden="false" customHeight="false" outlineLevel="0" collapsed="false">
      <c r="A111" s="5" t="n">
        <v>107</v>
      </c>
      <c r="B111" s="6" t="s">
        <v>80</v>
      </c>
      <c r="C111" s="5" t="n">
        <v>300</v>
      </c>
      <c r="D111" s="6" t="s">
        <v>137</v>
      </c>
      <c r="E111" s="5" t="s">
        <v>30</v>
      </c>
      <c r="F111" s="5" t="s">
        <v>28</v>
      </c>
      <c r="G111" s="7" t="n">
        <v>65290000</v>
      </c>
      <c r="H111" s="7" t="n">
        <v>55634432</v>
      </c>
      <c r="I111" s="8" t="n">
        <f aca="false">IFERROR(H111/G111,0)</f>
        <v>0.852112605299433</v>
      </c>
      <c r="J111" s="9" t="n">
        <v>76050000</v>
      </c>
      <c r="K111" s="9" t="n">
        <v>68426864</v>
      </c>
      <c r="L111" s="8" t="n">
        <f aca="false">IFERROR(K111/J111,0)</f>
        <v>0.899761525312295</v>
      </c>
      <c r="M111" s="8" t="n">
        <f aca="false">IFERROR(J111/H111-1,0)</f>
        <v>0.366959224100643</v>
      </c>
      <c r="N111" s="9" t="n">
        <f aca="false">K111-J111</f>
        <v>-7623136</v>
      </c>
      <c r="O111" s="9" t="n">
        <f aca="false">MAX(N111,0)</f>
        <v>0</v>
      </c>
      <c r="P111" s="9" t="n">
        <f aca="false">MIN(N111,0)</f>
        <v>-7623136</v>
      </c>
      <c r="Q111" s="8" t="n">
        <f aca="false">ROUND(L111,2)</f>
        <v>0.9</v>
      </c>
    </row>
    <row r="112" customFormat="false" ht="15" hidden="false" customHeight="false" outlineLevel="0" collapsed="false">
      <c r="A112" s="5" t="n">
        <v>108</v>
      </c>
      <c r="B112" s="6" t="s">
        <v>80</v>
      </c>
      <c r="C112" s="5" t="n">
        <v>301</v>
      </c>
      <c r="D112" s="6" t="s">
        <v>138</v>
      </c>
      <c r="E112" s="5" t="s">
        <v>28</v>
      </c>
      <c r="F112" s="5" t="s">
        <v>28</v>
      </c>
      <c r="G112" s="7" t="n">
        <v>52520000</v>
      </c>
      <c r="H112" s="7" t="n">
        <v>57669324</v>
      </c>
      <c r="I112" s="8" t="n">
        <f aca="false">IFERROR(H112/G112,0)</f>
        <v>1.09804501142422</v>
      </c>
      <c r="J112" s="9" t="n">
        <v>62570000</v>
      </c>
      <c r="K112" s="9" t="n">
        <v>58000944</v>
      </c>
      <c r="L112" s="8" t="n">
        <f aca="false">IFERROR(K112/J112,0)</f>
        <v>0.926976889883331</v>
      </c>
      <c r="M112" s="8" t="n">
        <f aca="false">IFERROR(J112/H112-1,0)</f>
        <v>0.0849789049027174</v>
      </c>
      <c r="N112" s="9" t="n">
        <f aca="false">K112-J112</f>
        <v>-4569056</v>
      </c>
      <c r="O112" s="9" t="n">
        <f aca="false">MAX(N112,0)</f>
        <v>0</v>
      </c>
      <c r="P112" s="9" t="n">
        <f aca="false">MIN(N112,0)</f>
        <v>-4569056</v>
      </c>
      <c r="Q112" s="8" t="n">
        <f aca="false">ROUND(L112,2)</f>
        <v>0.93</v>
      </c>
    </row>
    <row r="113" customFormat="false" ht="15" hidden="false" customHeight="false" outlineLevel="0" collapsed="false">
      <c r="A113" s="5" t="n">
        <v>109</v>
      </c>
      <c r="B113" s="6" t="s">
        <v>80</v>
      </c>
      <c r="C113" s="5" t="n">
        <v>302</v>
      </c>
      <c r="D113" s="6" t="s">
        <v>139</v>
      </c>
      <c r="E113" s="5" t="s">
        <v>24</v>
      </c>
      <c r="F113" s="5" t="s">
        <v>25</v>
      </c>
      <c r="G113" s="7" t="n">
        <v>41230000</v>
      </c>
      <c r="H113" s="7" t="n">
        <v>30184399</v>
      </c>
      <c r="I113" s="8" t="n">
        <f aca="false">IFERROR(H113/G113,0)</f>
        <v>0.732097962648557</v>
      </c>
      <c r="J113" s="9" t="n">
        <v>50010000</v>
      </c>
      <c r="K113" s="9" t="n">
        <v>36906824</v>
      </c>
      <c r="L113" s="8" t="n">
        <f aca="false">IFERROR(K113/J113,0)</f>
        <v>0.737988882223555</v>
      </c>
      <c r="M113" s="8" t="n">
        <f aca="false">IFERROR(J113/H113-1,0)</f>
        <v>0.656816158572513</v>
      </c>
      <c r="N113" s="9" t="n">
        <f aca="false">K113-J113</f>
        <v>-13103176</v>
      </c>
      <c r="O113" s="9" t="n">
        <f aca="false">MAX(N113,0)</f>
        <v>0</v>
      </c>
      <c r="P113" s="9" t="n">
        <f aca="false">MIN(N113,0)</f>
        <v>-13103176</v>
      </c>
      <c r="Q113" s="8" t="n">
        <f aca="false">ROUND(L113,2)</f>
        <v>0.74</v>
      </c>
    </row>
    <row r="114" customFormat="false" ht="15" hidden="false" customHeight="false" outlineLevel="0" collapsed="false">
      <c r="A114" s="5" t="n">
        <v>110</v>
      </c>
      <c r="B114" s="6" t="s">
        <v>80</v>
      </c>
      <c r="C114" s="5" t="n">
        <v>310</v>
      </c>
      <c r="D114" s="6" t="s">
        <v>140</v>
      </c>
      <c r="E114" s="5" t="s">
        <v>30</v>
      </c>
      <c r="F114" s="5" t="s">
        <v>21</v>
      </c>
      <c r="G114" s="7" t="n">
        <v>48960000</v>
      </c>
      <c r="H114" s="7" t="n">
        <v>43427432</v>
      </c>
      <c r="I114" s="8" t="n">
        <f aca="false">IFERROR(H114/G114,0)</f>
        <v>0.886998202614379</v>
      </c>
      <c r="J114" s="9" t="n">
        <v>56840000</v>
      </c>
      <c r="K114" s="9" t="n">
        <v>58910176</v>
      </c>
      <c r="L114" s="8" t="n">
        <f aca="false">IFERROR(K114/J114,0)</f>
        <v>1.03642111189303</v>
      </c>
      <c r="M114" s="8" t="n">
        <f aca="false">IFERROR(J114/H114-1,0)</f>
        <v>0.308850129567873</v>
      </c>
      <c r="N114" s="9" t="n">
        <f aca="false">K114-J114</f>
        <v>2070176</v>
      </c>
      <c r="O114" s="9" t="n">
        <f aca="false">MAX(N114,0)</f>
        <v>2070176</v>
      </c>
      <c r="P114" s="9" t="n">
        <f aca="false">MIN(N114,0)</f>
        <v>0</v>
      </c>
      <c r="Q114" s="8" t="n">
        <f aca="false">ROUND(L114,2)</f>
        <v>1.04</v>
      </c>
    </row>
    <row r="115" customFormat="false" ht="15" hidden="false" customHeight="false" outlineLevel="0" collapsed="false">
      <c r="A115" s="5" t="n">
        <v>111</v>
      </c>
      <c r="B115" s="6" t="s">
        <v>80</v>
      </c>
      <c r="C115" s="5" t="n">
        <v>313</v>
      </c>
      <c r="D115" s="6" t="s">
        <v>141</v>
      </c>
      <c r="E115" s="5" t="s">
        <v>27</v>
      </c>
      <c r="F115" s="5" t="s">
        <v>21</v>
      </c>
      <c r="G115" s="7" t="n">
        <v>27510000</v>
      </c>
      <c r="H115" s="7" t="n">
        <v>25219917</v>
      </c>
      <c r="I115" s="8" t="n">
        <f aca="false">IFERROR(H115/G115,0)</f>
        <v>0.916754525627045</v>
      </c>
      <c r="J115" s="9" t="n">
        <v>30620000</v>
      </c>
      <c r="K115" s="9" t="n">
        <v>35869459</v>
      </c>
      <c r="L115" s="8" t="n">
        <f aca="false">IFERROR(K115/J115,0)</f>
        <v>1.17143889614631</v>
      </c>
      <c r="M115" s="8" t="n">
        <f aca="false">IFERROR(J115/H115-1,0)</f>
        <v>0.214119776841454</v>
      </c>
      <c r="N115" s="9" t="n">
        <f aca="false">K115-J115</f>
        <v>5249459</v>
      </c>
      <c r="O115" s="9" t="n">
        <f aca="false">MAX(N115,0)</f>
        <v>5249459</v>
      </c>
      <c r="P115" s="9" t="n">
        <f aca="false">MIN(N115,0)</f>
        <v>0</v>
      </c>
      <c r="Q115" s="8" t="n">
        <f aca="false">ROUND(L115,2)</f>
        <v>1.17</v>
      </c>
    </row>
    <row r="116" customFormat="false" ht="15" hidden="false" customHeight="false" outlineLevel="0" collapsed="false">
      <c r="A116" s="5" t="n">
        <v>112</v>
      </c>
      <c r="B116" s="6" t="s">
        <v>142</v>
      </c>
      <c r="C116" s="5" t="n">
        <v>320</v>
      </c>
      <c r="D116" s="6" t="s">
        <v>143</v>
      </c>
      <c r="E116" s="5" t="s">
        <v>28</v>
      </c>
      <c r="F116" s="5" t="s">
        <v>21</v>
      </c>
      <c r="G116" s="7" t="n">
        <v>53610000</v>
      </c>
      <c r="H116" s="7" t="n">
        <v>58952051</v>
      </c>
      <c r="I116" s="8" t="n">
        <f aca="false">IFERROR(H116/G116,0)</f>
        <v>1.09964653982466</v>
      </c>
      <c r="J116" s="9" t="n">
        <v>64080000</v>
      </c>
      <c r="K116" s="9" t="n">
        <v>74912574</v>
      </c>
      <c r="L116" s="8" t="n">
        <f aca="false">IFERROR(K116/J116,0)</f>
        <v>1.16904765917603</v>
      </c>
      <c r="M116" s="8" t="n">
        <f aca="false">IFERROR(J116/H116-1,0)</f>
        <v>0.0869850821644864</v>
      </c>
      <c r="N116" s="9" t="n">
        <f aca="false">K116-J116</f>
        <v>10832574</v>
      </c>
      <c r="O116" s="9" t="n">
        <f aca="false">MAX(N116,0)</f>
        <v>10832574</v>
      </c>
      <c r="P116" s="9" t="n">
        <f aca="false">MIN(N116,0)</f>
        <v>0</v>
      </c>
      <c r="Q116" s="8" t="n">
        <f aca="false">ROUND(L116,2)</f>
        <v>1.17</v>
      </c>
    </row>
    <row r="117" customFormat="false" ht="15" hidden="false" customHeight="false" outlineLevel="0" collapsed="false">
      <c r="A117" s="5" t="n">
        <v>113</v>
      </c>
      <c r="B117" s="6" t="s">
        <v>142</v>
      </c>
      <c r="C117" s="5" t="n">
        <v>321</v>
      </c>
      <c r="D117" s="6" t="s">
        <v>144</v>
      </c>
      <c r="E117" s="5" t="s">
        <v>24</v>
      </c>
      <c r="F117" s="5" t="s">
        <v>25</v>
      </c>
      <c r="G117" s="7" t="n">
        <v>61370000</v>
      </c>
      <c r="H117" s="7" t="n">
        <v>41175294</v>
      </c>
      <c r="I117" s="8" t="n">
        <f aca="false">IFERROR(H117/G117,0)</f>
        <v>0.670935212644615</v>
      </c>
      <c r="J117" s="9" t="n">
        <v>74460000</v>
      </c>
      <c r="K117" s="9" t="n">
        <v>48196053</v>
      </c>
      <c r="L117" s="8" t="n">
        <f aca="false">IFERROR(K117/J117,0)</f>
        <v>0.647274415793715</v>
      </c>
      <c r="M117" s="8" t="n">
        <f aca="false">IFERROR(J117/H117-1,0)</f>
        <v>0.808365958479859</v>
      </c>
      <c r="N117" s="9" t="n">
        <f aca="false">K117-J117</f>
        <v>-26263947</v>
      </c>
      <c r="O117" s="9" t="n">
        <f aca="false">MAX(N117,0)</f>
        <v>0</v>
      </c>
      <c r="P117" s="9" t="n">
        <f aca="false">MIN(N117,0)</f>
        <v>-26263947</v>
      </c>
      <c r="Q117" s="8" t="n">
        <f aca="false">ROUND(L117,2)</f>
        <v>0.65</v>
      </c>
    </row>
    <row r="118" customFormat="false" ht="15" hidden="false" customHeight="false" outlineLevel="0" collapsed="false">
      <c r="A118" s="5" t="n">
        <v>114</v>
      </c>
      <c r="B118" s="6" t="s">
        <v>142</v>
      </c>
      <c r="C118" s="5" t="n">
        <v>322</v>
      </c>
      <c r="D118" s="6" t="s">
        <v>145</v>
      </c>
      <c r="E118" s="5" t="s">
        <v>27</v>
      </c>
      <c r="F118" s="5" t="s">
        <v>28</v>
      </c>
      <c r="G118" s="7" t="n">
        <v>40880000</v>
      </c>
      <c r="H118" s="7" t="n">
        <v>39089741</v>
      </c>
      <c r="I118" s="8" t="n">
        <f aca="false">IFERROR(H118/G118,0)</f>
        <v>0.956206971624266</v>
      </c>
      <c r="J118" s="9" t="n">
        <v>45430000</v>
      </c>
      <c r="K118" s="9" t="n">
        <v>41210713</v>
      </c>
      <c r="L118" s="8" t="n">
        <f aca="false">IFERROR(K118/J118,0)</f>
        <v>0.907125533788246</v>
      </c>
      <c r="M118" s="8" t="n">
        <f aca="false">IFERROR(J118/H118-1,0)</f>
        <v>0.162197518781207</v>
      </c>
      <c r="N118" s="9" t="n">
        <f aca="false">K118-J118</f>
        <v>-4219287</v>
      </c>
      <c r="O118" s="9" t="n">
        <f aca="false">MAX(N118,0)</f>
        <v>0</v>
      </c>
      <c r="P118" s="9" t="n">
        <f aca="false">MIN(N118,0)</f>
        <v>-4219287</v>
      </c>
      <c r="Q118" s="8" t="n">
        <f aca="false">ROUND(L118,2)</f>
        <v>0.91</v>
      </c>
    </row>
    <row r="119" customFormat="false" ht="15" hidden="false" customHeight="false" outlineLevel="0" collapsed="false">
      <c r="A119" s="5" t="n">
        <v>115</v>
      </c>
      <c r="B119" s="6" t="s">
        <v>80</v>
      </c>
      <c r="C119" s="5" t="n">
        <v>323</v>
      </c>
      <c r="D119" s="6" t="s">
        <v>146</v>
      </c>
      <c r="E119" s="5" t="s">
        <v>30</v>
      </c>
      <c r="F119" s="5" t="s">
        <v>21</v>
      </c>
      <c r="G119" s="7" t="n">
        <v>40780000</v>
      </c>
      <c r="H119" s="7" t="n">
        <v>32658690</v>
      </c>
      <c r="I119" s="8" t="n">
        <f aca="false">IFERROR(H119/G119,0)</f>
        <v>0.80085066208926</v>
      </c>
      <c r="J119" s="9" t="n">
        <v>47540000</v>
      </c>
      <c r="K119" s="9" t="n">
        <v>49260989</v>
      </c>
      <c r="L119" s="8" t="n">
        <f aca="false">IFERROR(K119/J119,0)</f>
        <v>1.03620086243164</v>
      </c>
      <c r="M119" s="8" t="n">
        <f aca="false">IFERROR(J119/H119-1,0)</f>
        <v>0.455661571238773</v>
      </c>
      <c r="N119" s="9" t="n">
        <f aca="false">K119-J119</f>
        <v>1720989</v>
      </c>
      <c r="O119" s="9" t="n">
        <f aca="false">MAX(N119,0)</f>
        <v>1720989</v>
      </c>
      <c r="P119" s="9" t="n">
        <f aca="false">MIN(N119,0)</f>
        <v>0</v>
      </c>
      <c r="Q119" s="8" t="n">
        <f aca="false">ROUND(L119,2)</f>
        <v>1.04</v>
      </c>
    </row>
    <row r="120" customFormat="false" ht="15" hidden="false" customHeight="false" outlineLevel="0" collapsed="false">
      <c r="A120" s="5" t="n">
        <v>116</v>
      </c>
      <c r="B120" s="6" t="s">
        <v>80</v>
      </c>
      <c r="C120" s="5" t="n">
        <v>351</v>
      </c>
      <c r="D120" s="6" t="s">
        <v>147</v>
      </c>
      <c r="E120" s="5" t="s">
        <v>22</v>
      </c>
      <c r="F120" s="5" t="s">
        <v>21</v>
      </c>
      <c r="G120" s="7" t="n">
        <v>37210000</v>
      </c>
      <c r="H120" s="7" t="n">
        <v>50151038</v>
      </c>
      <c r="I120" s="8" t="n">
        <f aca="false">IFERROR(H120/G120,0)</f>
        <v>1.34778387530234</v>
      </c>
      <c r="J120" s="9" t="n">
        <v>47590000</v>
      </c>
      <c r="K120" s="9" t="n">
        <v>53651005</v>
      </c>
      <c r="L120" s="8" t="n">
        <f aca="false">IFERROR(K120/J120,0)</f>
        <v>1.12735879386426</v>
      </c>
      <c r="M120" s="8" t="n">
        <f aca="false">IFERROR(J120/H120-1,0)</f>
        <v>-0.0510665003583775</v>
      </c>
      <c r="N120" s="9" t="n">
        <f aca="false">K120-J120</f>
        <v>6061005</v>
      </c>
      <c r="O120" s="9" t="n">
        <f aca="false">MAX(N120,0)</f>
        <v>6061005</v>
      </c>
      <c r="P120" s="9" t="n">
        <f aca="false">MIN(N120,0)</f>
        <v>0</v>
      </c>
      <c r="Q120" s="8" t="n">
        <f aca="false">ROUND(L120,2)</f>
        <v>1.13</v>
      </c>
    </row>
    <row r="121" customFormat="false" ht="15" hidden="false" customHeight="false" outlineLevel="0" collapsed="false">
      <c r="A121" s="5" t="n">
        <v>117</v>
      </c>
      <c r="B121" s="6" t="s">
        <v>142</v>
      </c>
      <c r="C121" s="5" t="n">
        <v>400</v>
      </c>
      <c r="D121" s="6" t="s">
        <v>148</v>
      </c>
      <c r="E121" s="5" t="s">
        <v>28</v>
      </c>
      <c r="F121" s="5" t="s">
        <v>28</v>
      </c>
      <c r="G121" s="7" t="n">
        <v>83180000</v>
      </c>
      <c r="H121" s="7" t="n">
        <v>95413419</v>
      </c>
      <c r="I121" s="8" t="n">
        <f aca="false">IFERROR(H121/G121,0)</f>
        <v>1.14707163981726</v>
      </c>
      <c r="J121" s="9" t="n">
        <v>101620000</v>
      </c>
      <c r="K121" s="9" t="n">
        <v>96687862</v>
      </c>
      <c r="L121" s="8" t="n">
        <f aca="false">IFERROR(K121/J121,0)</f>
        <v>0.951464888801417</v>
      </c>
      <c r="M121" s="8" t="n">
        <f aca="false">IFERROR(J121/H121-1,0)</f>
        <v>0.0650493511819339</v>
      </c>
      <c r="N121" s="9" t="n">
        <f aca="false">K121-J121</f>
        <v>-4932138</v>
      </c>
      <c r="O121" s="9" t="n">
        <f aca="false">MAX(N121,0)</f>
        <v>0</v>
      </c>
      <c r="P121" s="9" t="n">
        <f aca="false">MIN(N121,0)</f>
        <v>-4932138</v>
      </c>
      <c r="Q121" s="8" t="n">
        <f aca="false">ROUND(L121,2)</f>
        <v>0.95</v>
      </c>
    </row>
    <row r="122" customFormat="false" ht="15" hidden="false" customHeight="false" outlineLevel="0" collapsed="false">
      <c r="A122" s="5" t="n">
        <v>118</v>
      </c>
      <c r="B122" s="6" t="s">
        <v>142</v>
      </c>
      <c r="C122" s="5" t="n">
        <v>401</v>
      </c>
      <c r="D122" s="6" t="s">
        <v>149</v>
      </c>
      <c r="E122" s="5" t="s">
        <v>25</v>
      </c>
      <c r="F122" s="5" t="s">
        <v>28</v>
      </c>
      <c r="G122" s="7" t="n">
        <v>54710000</v>
      </c>
      <c r="H122" s="7" t="n">
        <v>55260574</v>
      </c>
      <c r="I122" s="8" t="n">
        <f aca="false">IFERROR(H122/G122,0)</f>
        <v>1.01006349844635</v>
      </c>
      <c r="J122" s="9" t="n">
        <v>61510000</v>
      </c>
      <c r="K122" s="9" t="n">
        <v>55405247</v>
      </c>
      <c r="L122" s="8" t="n">
        <f aca="false">IFERROR(K122/J122,0)</f>
        <v>0.900751861485937</v>
      </c>
      <c r="M122" s="8" t="n">
        <f aca="false">IFERROR(J122/H122-1,0)</f>
        <v>0.113090139092656</v>
      </c>
      <c r="N122" s="9" t="n">
        <f aca="false">K122-J122</f>
        <v>-6104753</v>
      </c>
      <c r="O122" s="9" t="n">
        <f aca="false">MAX(N122,0)</f>
        <v>0</v>
      </c>
      <c r="P122" s="9" t="n">
        <f aca="false">MIN(N122,0)</f>
        <v>-6104753</v>
      </c>
      <c r="Q122" s="8" t="n">
        <f aca="false">ROUND(L122,2)</f>
        <v>0.9</v>
      </c>
    </row>
    <row r="123" customFormat="false" ht="15" hidden="false" customHeight="false" outlineLevel="0" collapsed="false">
      <c r="A123" s="5" t="n">
        <v>119</v>
      </c>
      <c r="B123" s="6" t="s">
        <v>142</v>
      </c>
      <c r="C123" s="5" t="n">
        <v>402</v>
      </c>
      <c r="D123" s="6" t="s">
        <v>150</v>
      </c>
      <c r="E123" s="5" t="s">
        <v>28</v>
      </c>
      <c r="F123" s="5" t="s">
        <v>22</v>
      </c>
      <c r="G123" s="7" t="n">
        <v>61310000</v>
      </c>
      <c r="H123" s="7" t="n">
        <v>70898442</v>
      </c>
      <c r="I123" s="8" t="n">
        <f aca="false">IFERROR(H123/G123,0)</f>
        <v>1.15639279073561</v>
      </c>
      <c r="J123" s="9" t="n">
        <v>76980000</v>
      </c>
      <c r="K123" s="9" t="n">
        <v>94901026</v>
      </c>
      <c r="L123" s="8" t="n">
        <f aca="false">IFERROR(K123/J123,0)</f>
        <v>1.23280106521174</v>
      </c>
      <c r="M123" s="8" t="n">
        <f aca="false">IFERROR(J123/H123-1,0)</f>
        <v>0.0857784434811699</v>
      </c>
      <c r="N123" s="9" t="n">
        <f aca="false">K123-J123</f>
        <v>17921026</v>
      </c>
      <c r="O123" s="9" t="n">
        <f aca="false">MAX(N123,0)</f>
        <v>17921026</v>
      </c>
      <c r="P123" s="9" t="n">
        <f aca="false">MIN(N123,0)</f>
        <v>0</v>
      </c>
      <c r="Q123" s="8" t="n">
        <f aca="false">ROUND(L123,2)</f>
        <v>1.23</v>
      </c>
    </row>
    <row r="124" customFormat="false" ht="15" hidden="false" customHeight="false" outlineLevel="0" collapsed="false">
      <c r="A124" s="5" t="n">
        <v>120</v>
      </c>
      <c r="B124" s="6" t="s">
        <v>142</v>
      </c>
      <c r="C124" s="5" t="n">
        <v>403</v>
      </c>
      <c r="D124" s="6" t="s">
        <v>151</v>
      </c>
      <c r="E124" s="5" t="s">
        <v>28</v>
      </c>
      <c r="F124" s="5" t="s">
        <v>28</v>
      </c>
      <c r="G124" s="7" t="n">
        <v>59940000</v>
      </c>
      <c r="H124" s="7" t="n">
        <v>66205159</v>
      </c>
      <c r="I124" s="8" t="n">
        <f aca="false">IFERROR(H124/G124,0)</f>
        <v>1.10452384050717</v>
      </c>
      <c r="J124" s="9" t="n">
        <v>71900000</v>
      </c>
      <c r="K124" s="9" t="n">
        <v>68713873</v>
      </c>
      <c r="L124" s="8" t="n">
        <f aca="false">IFERROR(K124/J124,0)</f>
        <v>0.95568668984701</v>
      </c>
      <c r="M124" s="8" t="n">
        <f aca="false">IFERROR(J124/H124-1,0)</f>
        <v>0.0860180850860883</v>
      </c>
      <c r="N124" s="9" t="n">
        <f aca="false">K124-J124</f>
        <v>-3186127</v>
      </c>
      <c r="O124" s="9" t="n">
        <f aca="false">MAX(N124,0)</f>
        <v>0</v>
      </c>
      <c r="P124" s="9" t="n">
        <f aca="false">MIN(N124,0)</f>
        <v>-3186127</v>
      </c>
      <c r="Q124" s="8" t="n">
        <f aca="false">ROUND(L124,2)</f>
        <v>0.96</v>
      </c>
    </row>
    <row r="125" customFormat="false" ht="15" hidden="false" customHeight="false" outlineLevel="0" collapsed="false">
      <c r="A125" s="5" t="n">
        <v>121</v>
      </c>
      <c r="B125" s="6" t="s">
        <v>142</v>
      </c>
      <c r="C125" s="5" t="n">
        <v>420</v>
      </c>
      <c r="D125" s="6" t="s">
        <v>152</v>
      </c>
      <c r="E125" s="5" t="s">
        <v>27</v>
      </c>
      <c r="F125" s="5" t="s">
        <v>21</v>
      </c>
      <c r="G125" s="7" t="n">
        <v>109050000</v>
      </c>
      <c r="H125" s="7" t="n">
        <v>106047186</v>
      </c>
      <c r="I125" s="8" t="n">
        <f aca="false">IFERROR(H125/G125,0)</f>
        <v>0.972463878954608</v>
      </c>
      <c r="J125" s="9" t="n">
        <v>121170000</v>
      </c>
      <c r="K125" s="9" t="n">
        <v>136975246</v>
      </c>
      <c r="L125" s="8" t="n">
        <f aca="false">IFERROR(K125/J125,0)</f>
        <v>1.1304386069159</v>
      </c>
      <c r="M125" s="8" t="n">
        <f aca="false">IFERROR(J125/H125-1,0)</f>
        <v>0.142604576042216</v>
      </c>
      <c r="N125" s="9" t="n">
        <f aca="false">K125-J125</f>
        <v>15805246</v>
      </c>
      <c r="O125" s="9" t="n">
        <f aca="false">MAX(N125,0)</f>
        <v>15805246</v>
      </c>
      <c r="P125" s="9" t="n">
        <f aca="false">MIN(N125,0)</f>
        <v>0</v>
      </c>
      <c r="Q125" s="8" t="n">
        <f aca="false">ROUND(L125,2)</f>
        <v>1.13</v>
      </c>
    </row>
    <row r="126" customFormat="false" ht="15" hidden="false" customHeight="false" outlineLevel="0" collapsed="false">
      <c r="A126" s="5" t="n">
        <v>122</v>
      </c>
      <c r="B126" s="6" t="s">
        <v>142</v>
      </c>
      <c r="C126" s="5" t="n">
        <v>422</v>
      </c>
      <c r="D126" s="6" t="s">
        <v>153</v>
      </c>
      <c r="E126" s="5" t="s">
        <v>21</v>
      </c>
      <c r="F126" s="5" t="s">
        <v>38</v>
      </c>
      <c r="G126" s="7" t="n">
        <v>66050000</v>
      </c>
      <c r="H126" s="7" t="n">
        <v>83556321</v>
      </c>
      <c r="I126" s="8" t="n">
        <f aca="false">IFERROR(H126/G126,0)</f>
        <v>1.26504649507949</v>
      </c>
      <c r="J126" s="9" t="n">
        <v>81890000</v>
      </c>
      <c r="K126" s="9" t="n">
        <v>133722552</v>
      </c>
      <c r="L126" s="8" t="n">
        <f aca="false">IFERROR(K126/J126,0)</f>
        <v>1.63295337648064</v>
      </c>
      <c r="M126" s="8" t="n">
        <f aca="false">IFERROR(J126/H126-1,0)</f>
        <v>-0.0199424888513222</v>
      </c>
      <c r="N126" s="9" t="n">
        <f aca="false">K126-J126</f>
        <v>51832552</v>
      </c>
      <c r="O126" s="9" t="n">
        <f aca="false">MAX(N126,0)</f>
        <v>51832552</v>
      </c>
      <c r="P126" s="9" t="n">
        <f aca="false">MIN(N126,0)</f>
        <v>0</v>
      </c>
      <c r="Q126" s="8" t="n">
        <f aca="false">ROUND(L126,2)</f>
        <v>1.63</v>
      </c>
    </row>
    <row r="127" customFormat="false" ht="15" hidden="false" customHeight="false" outlineLevel="0" collapsed="false">
      <c r="A127" s="5" t="n">
        <v>123</v>
      </c>
      <c r="B127" s="6" t="s">
        <v>142</v>
      </c>
      <c r="C127" s="5" t="n">
        <v>423</v>
      </c>
      <c r="D127" s="6" t="s">
        <v>154</v>
      </c>
      <c r="E127" s="5" t="s">
        <v>28</v>
      </c>
      <c r="F127" s="5" t="s">
        <v>21</v>
      </c>
      <c r="G127" s="7" t="n">
        <v>50080000</v>
      </c>
      <c r="H127" s="7" t="n">
        <v>55008805</v>
      </c>
      <c r="I127" s="8" t="n">
        <f aca="false">IFERROR(H127/G127,0)</f>
        <v>1.09841863019169</v>
      </c>
      <c r="J127" s="9" t="n">
        <v>60720000</v>
      </c>
      <c r="K127" s="9" t="n">
        <v>62577903</v>
      </c>
      <c r="L127" s="8" t="n">
        <f aca="false">IFERROR(K127/J127,0)</f>
        <v>1.03059787549407</v>
      </c>
      <c r="M127" s="8" t="n">
        <f aca="false">IFERROR(J127/H127-1,0)</f>
        <v>0.10382328792636</v>
      </c>
      <c r="N127" s="9" t="n">
        <f aca="false">K127-J127</f>
        <v>1857903</v>
      </c>
      <c r="O127" s="9" t="n">
        <f aca="false">MAX(N127,0)</f>
        <v>1857903</v>
      </c>
      <c r="P127" s="9" t="n">
        <f aca="false">MIN(N127,0)</f>
        <v>0</v>
      </c>
      <c r="Q127" s="8" t="n">
        <f aca="false">ROUND(L127,2)</f>
        <v>1.03</v>
      </c>
    </row>
    <row r="128" customFormat="false" ht="15" hidden="false" customHeight="false" outlineLevel="0" collapsed="false">
      <c r="A128" s="5" t="n">
        <v>124</v>
      </c>
      <c r="B128" s="6" t="s">
        <v>142</v>
      </c>
      <c r="C128" s="5" t="n">
        <v>424</v>
      </c>
      <c r="D128" s="6" t="s">
        <v>155</v>
      </c>
      <c r="E128" s="5" t="s">
        <v>22</v>
      </c>
      <c r="F128" s="5" t="s">
        <v>21</v>
      </c>
      <c r="G128" s="7" t="n">
        <v>81150000</v>
      </c>
      <c r="H128" s="7" t="n">
        <v>115128188</v>
      </c>
      <c r="I128" s="8" t="n">
        <f aca="false">IFERROR(H128/G128,0)</f>
        <v>1.41870841651263</v>
      </c>
      <c r="J128" s="9" t="n">
        <v>108710000</v>
      </c>
      <c r="K128" s="9" t="n">
        <v>124347153</v>
      </c>
      <c r="L128" s="8" t="n">
        <f aca="false">IFERROR(K128/J128,0)</f>
        <v>1.14384282034771</v>
      </c>
      <c r="M128" s="8" t="n">
        <f aca="false">IFERROR(J128/H128-1,0)</f>
        <v>-0.0557481891402651</v>
      </c>
      <c r="N128" s="9" t="n">
        <f aca="false">K128-J128</f>
        <v>15637153</v>
      </c>
      <c r="O128" s="9" t="n">
        <f aca="false">MAX(N128,0)</f>
        <v>15637153</v>
      </c>
      <c r="P128" s="9" t="n">
        <f aca="false">MIN(N128,0)</f>
        <v>0</v>
      </c>
      <c r="Q128" s="8" t="n">
        <f aca="false">ROUND(L128,2)</f>
        <v>1.14</v>
      </c>
    </row>
    <row r="129" customFormat="false" ht="15" hidden="false" customHeight="false" outlineLevel="0" collapsed="false">
      <c r="A129" s="5" t="n">
        <v>125</v>
      </c>
      <c r="B129" s="6" t="s">
        <v>142</v>
      </c>
      <c r="C129" s="5" t="n">
        <v>425</v>
      </c>
      <c r="D129" s="6" t="s">
        <v>156</v>
      </c>
      <c r="E129" s="5" t="s">
        <v>30</v>
      </c>
      <c r="F129" s="5" t="s">
        <v>28</v>
      </c>
      <c r="G129" s="7" t="n">
        <v>70230000</v>
      </c>
      <c r="H129" s="7" t="n">
        <v>59202645</v>
      </c>
      <c r="I129" s="8" t="n">
        <f aca="false">IFERROR(H129/G129,0)</f>
        <v>0.842982272533106</v>
      </c>
      <c r="J129" s="9" t="n">
        <v>81570000</v>
      </c>
      <c r="K129" s="9" t="n">
        <v>65420728</v>
      </c>
      <c r="L129" s="8" t="n">
        <f aca="false">IFERROR(K129/J129,0)</f>
        <v>0.802019467941645</v>
      </c>
      <c r="M129" s="8" t="n">
        <f aca="false">IFERROR(J129/H129-1,0)</f>
        <v>0.377810062371369</v>
      </c>
      <c r="N129" s="9" t="n">
        <f aca="false">K129-J129</f>
        <v>-16149272</v>
      </c>
      <c r="O129" s="9" t="n">
        <f aca="false">MAX(N129,0)</f>
        <v>0</v>
      </c>
      <c r="P129" s="9" t="n">
        <f aca="false">MIN(N129,0)</f>
        <v>-16149272</v>
      </c>
      <c r="Q129" s="8" t="n">
        <f aca="false">ROUND(L129,2)</f>
        <v>0.8</v>
      </c>
    </row>
    <row r="130" customFormat="false" ht="15" hidden="false" customHeight="false" outlineLevel="0" collapsed="false">
      <c r="A130" s="5" t="n">
        <v>126</v>
      </c>
      <c r="B130" s="6" t="s">
        <v>142</v>
      </c>
      <c r="C130" s="5" t="n">
        <v>426</v>
      </c>
      <c r="D130" s="6" t="s">
        <v>157</v>
      </c>
      <c r="E130" s="5" t="s">
        <v>27</v>
      </c>
      <c r="F130" s="5" t="s">
        <v>28</v>
      </c>
      <c r="G130" s="7" t="n">
        <v>54330000</v>
      </c>
      <c r="H130" s="7" t="n">
        <v>51242161</v>
      </c>
      <c r="I130" s="8" t="n">
        <f aca="false">IFERROR(H130/G130,0)</f>
        <v>0.943165120559544</v>
      </c>
      <c r="J130" s="9" t="n">
        <v>60460000</v>
      </c>
      <c r="K130" s="9" t="n">
        <v>52489399</v>
      </c>
      <c r="L130" s="8" t="n">
        <f aca="false">IFERROR(K130/J130,0)</f>
        <v>0.868167366854118</v>
      </c>
      <c r="M130" s="8" t="n">
        <f aca="false">IFERROR(J130/H130-1,0)</f>
        <v>0.179887788104799</v>
      </c>
      <c r="N130" s="9" t="n">
        <f aca="false">K130-J130</f>
        <v>-7970601</v>
      </c>
      <c r="O130" s="9" t="n">
        <f aca="false">MAX(N130,0)</f>
        <v>0</v>
      </c>
      <c r="P130" s="9" t="n">
        <f aca="false">MIN(N130,0)</f>
        <v>-7970601</v>
      </c>
      <c r="Q130" s="8" t="n">
        <f aca="false">ROUND(L130,2)</f>
        <v>0.87</v>
      </c>
    </row>
    <row r="131" customFormat="false" ht="15" hidden="false" customHeight="false" outlineLevel="0" collapsed="false">
      <c r="A131" s="5" t="n">
        <v>127</v>
      </c>
      <c r="B131" s="6" t="s">
        <v>142</v>
      </c>
      <c r="C131" s="5" t="n">
        <v>427</v>
      </c>
      <c r="D131" s="6" t="s">
        <v>158</v>
      </c>
      <c r="E131" s="5" t="s">
        <v>27</v>
      </c>
      <c r="F131" s="5" t="s">
        <v>28</v>
      </c>
      <c r="G131" s="7" t="n">
        <v>61090000</v>
      </c>
      <c r="H131" s="7" t="n">
        <v>57956237</v>
      </c>
      <c r="I131" s="8" t="n">
        <f aca="false">IFERROR(H131/G131,0)</f>
        <v>0.948702520870846</v>
      </c>
      <c r="J131" s="9" t="n">
        <v>68020000</v>
      </c>
      <c r="K131" s="9" t="n">
        <v>65975791</v>
      </c>
      <c r="L131" s="8" t="n">
        <f aca="false">IFERROR(K131/J131,0)</f>
        <v>0.96994694207586</v>
      </c>
      <c r="M131" s="8" t="n">
        <f aca="false">IFERROR(J131/H131-1,0)</f>
        <v>0.173644175690703</v>
      </c>
      <c r="N131" s="9" t="n">
        <f aca="false">K131-J131</f>
        <v>-2044209</v>
      </c>
      <c r="O131" s="9" t="n">
        <f aca="false">MAX(N131,0)</f>
        <v>0</v>
      </c>
      <c r="P131" s="9" t="n">
        <f aca="false">MIN(N131,0)</f>
        <v>-2044209</v>
      </c>
      <c r="Q131" s="8" t="n">
        <f aca="false">ROUND(L131,2)</f>
        <v>0.97</v>
      </c>
    </row>
    <row r="132" customFormat="false" ht="15" hidden="false" customHeight="false" outlineLevel="0" collapsed="false">
      <c r="A132" s="5" t="n">
        <v>128</v>
      </c>
      <c r="B132" s="6" t="s">
        <v>142</v>
      </c>
      <c r="C132" s="5" t="n">
        <v>429</v>
      </c>
      <c r="D132" s="6" t="s">
        <v>159</v>
      </c>
      <c r="E132" s="5" t="s">
        <v>22</v>
      </c>
      <c r="F132" s="5" t="s">
        <v>22</v>
      </c>
      <c r="G132" s="7" t="n">
        <v>43650000</v>
      </c>
      <c r="H132" s="7" t="n">
        <v>60043744</v>
      </c>
      <c r="I132" s="8" t="n">
        <f aca="false">IFERROR(H132/G132,0)</f>
        <v>1.3755726002291</v>
      </c>
      <c r="J132" s="9" t="n">
        <v>53410000</v>
      </c>
      <c r="K132" s="9" t="n">
        <v>68618259</v>
      </c>
      <c r="L132" s="8" t="n">
        <f aca="false">IFERROR(K132/J132,0)</f>
        <v>1.28474553454409</v>
      </c>
      <c r="M132" s="8" t="n">
        <f aca="false">IFERROR(J132/H132-1,0)</f>
        <v>-0.110481851364898</v>
      </c>
      <c r="N132" s="9" t="n">
        <f aca="false">K132-J132</f>
        <v>15208259</v>
      </c>
      <c r="O132" s="9" t="n">
        <f aca="false">MAX(N132,0)</f>
        <v>15208259</v>
      </c>
      <c r="P132" s="9" t="n">
        <f aca="false">MIN(N132,0)</f>
        <v>0</v>
      </c>
      <c r="Q132" s="8" t="n">
        <f aca="false">ROUND(L132,2)</f>
        <v>1.28</v>
      </c>
    </row>
    <row r="133" customFormat="false" ht="15" hidden="false" customHeight="false" outlineLevel="0" collapsed="false">
      <c r="A133" s="5" t="n">
        <v>129</v>
      </c>
      <c r="B133" s="6" t="s">
        <v>142</v>
      </c>
      <c r="C133" s="5" t="n">
        <v>430</v>
      </c>
      <c r="D133" s="6" t="s">
        <v>160</v>
      </c>
      <c r="E133" s="5" t="s">
        <v>27</v>
      </c>
      <c r="F133" s="5" t="s">
        <v>25</v>
      </c>
      <c r="G133" s="7" t="n">
        <v>40580000</v>
      </c>
      <c r="H133" s="7" t="n">
        <v>39864001</v>
      </c>
      <c r="I133" s="8" t="n">
        <f aca="false">IFERROR(H133/G133,0)</f>
        <v>0.982355864958107</v>
      </c>
      <c r="J133" s="9" t="n">
        <v>45280000</v>
      </c>
      <c r="K133" s="9" t="n">
        <v>33136455</v>
      </c>
      <c r="L133" s="8" t="n">
        <f aca="false">IFERROR(K133/J133,0)</f>
        <v>0.731812168727915</v>
      </c>
      <c r="M133" s="8" t="n">
        <f aca="false">IFERROR(J133/H133-1,0)</f>
        <v>0.135861902070492</v>
      </c>
      <c r="N133" s="9" t="n">
        <f aca="false">K133-J133</f>
        <v>-12143545</v>
      </c>
      <c r="O133" s="9" t="n">
        <f aca="false">MAX(N133,0)</f>
        <v>0</v>
      </c>
      <c r="P133" s="9" t="n">
        <f aca="false">MIN(N133,0)</f>
        <v>-12143545</v>
      </c>
      <c r="Q133" s="8" t="n">
        <f aca="false">ROUND(L133,2)</f>
        <v>0.73</v>
      </c>
    </row>
    <row r="134" customFormat="false" ht="15" hidden="false" customHeight="false" outlineLevel="0" collapsed="false">
      <c r="A134" s="5" t="n">
        <v>130</v>
      </c>
      <c r="B134" s="6" t="s">
        <v>142</v>
      </c>
      <c r="C134" s="5" t="n">
        <v>431</v>
      </c>
      <c r="D134" s="6" t="s">
        <v>161</v>
      </c>
      <c r="E134" s="5" t="s">
        <v>22</v>
      </c>
      <c r="F134" s="5" t="s">
        <v>21</v>
      </c>
      <c r="G134" s="7" t="n">
        <v>29520000</v>
      </c>
      <c r="H134" s="7" t="n">
        <v>39738958</v>
      </c>
      <c r="I134" s="8" t="n">
        <f aca="false">IFERROR(H134/G134,0)</f>
        <v>1.34617066395664</v>
      </c>
      <c r="J134" s="9" t="n">
        <v>37760000</v>
      </c>
      <c r="K134" s="9" t="n">
        <v>43223962</v>
      </c>
      <c r="L134" s="8" t="n">
        <f aca="false">IFERROR(K134/J134,0)</f>
        <v>1.14470238347458</v>
      </c>
      <c r="M134" s="8" t="n">
        <f aca="false">IFERROR(J134/H134-1,0)</f>
        <v>-0.0497989403748332</v>
      </c>
      <c r="N134" s="9" t="n">
        <f aca="false">K134-J134</f>
        <v>5463962</v>
      </c>
      <c r="O134" s="9" t="n">
        <f aca="false">MAX(N134,0)</f>
        <v>5463962</v>
      </c>
      <c r="P134" s="9" t="n">
        <f aca="false">MIN(N134,0)</f>
        <v>0</v>
      </c>
      <c r="Q134" s="8" t="n">
        <f aca="false">ROUND(L134,2)</f>
        <v>1.14</v>
      </c>
    </row>
    <row r="135" customFormat="false" ht="15" hidden="false" customHeight="false" outlineLevel="0" collapsed="false">
      <c r="A135" s="5" t="n">
        <v>131</v>
      </c>
      <c r="B135" s="6" t="s">
        <v>142</v>
      </c>
      <c r="C135" s="5" t="n">
        <v>451</v>
      </c>
      <c r="D135" s="6" t="s">
        <v>162</v>
      </c>
      <c r="E135" s="5" t="s">
        <v>30</v>
      </c>
      <c r="F135" s="5" t="s">
        <v>25</v>
      </c>
      <c r="G135" s="7" t="n">
        <v>48530000</v>
      </c>
      <c r="H135" s="7" t="n">
        <v>38743800</v>
      </c>
      <c r="I135" s="8" t="n">
        <f aca="false">IFERROR(H135/G135,0)</f>
        <v>0.79834741397074</v>
      </c>
      <c r="J135" s="9" t="n">
        <v>56240000</v>
      </c>
      <c r="K135" s="9" t="n">
        <v>40782598</v>
      </c>
      <c r="L135" s="8" t="n">
        <f aca="false">IFERROR(K135/J135,0)</f>
        <v>0.725152880512091</v>
      </c>
      <c r="M135" s="8" t="n">
        <f aca="false">IFERROR(J135/H135-1,0)</f>
        <v>0.451587092644501</v>
      </c>
      <c r="N135" s="9" t="n">
        <f aca="false">K135-J135</f>
        <v>-15457402</v>
      </c>
      <c r="O135" s="9" t="n">
        <f aca="false">MAX(N135,0)</f>
        <v>0</v>
      </c>
      <c r="P135" s="9" t="n">
        <f aca="false">MIN(N135,0)</f>
        <v>-15457402</v>
      </c>
      <c r="Q135" s="8" t="n">
        <f aca="false">ROUND(L135,2)</f>
        <v>0.73</v>
      </c>
    </row>
    <row r="136" customFormat="false" ht="15" hidden="false" customHeight="false" outlineLevel="0" collapsed="false">
      <c r="A136" s="5" t="n">
        <v>132</v>
      </c>
      <c r="B136" s="6" t="s">
        <v>142</v>
      </c>
      <c r="C136" s="5" t="n">
        <v>500</v>
      </c>
      <c r="D136" s="6" t="s">
        <v>163</v>
      </c>
      <c r="E136" s="5" t="s">
        <v>22</v>
      </c>
      <c r="F136" s="5" t="s">
        <v>21</v>
      </c>
      <c r="G136" s="7" t="n">
        <v>49100000</v>
      </c>
      <c r="H136" s="7" t="n">
        <v>66514232</v>
      </c>
      <c r="I136" s="8" t="n">
        <f aca="false">IFERROR(H136/G136,0)</f>
        <v>1.35466867617108</v>
      </c>
      <c r="J136" s="9" t="n">
        <v>62690000</v>
      </c>
      <c r="K136" s="9" t="n">
        <v>72594689</v>
      </c>
      <c r="L136" s="8" t="n">
        <f aca="false">IFERROR(K136/J136,0)</f>
        <v>1.15799472005104</v>
      </c>
      <c r="M136" s="8" t="n">
        <f aca="false">IFERROR(J136/H136-1,0)</f>
        <v>-0.0574949433378409</v>
      </c>
      <c r="N136" s="9" t="n">
        <f aca="false">K136-J136</f>
        <v>9904689</v>
      </c>
      <c r="O136" s="9" t="n">
        <f aca="false">MAX(N136,0)</f>
        <v>9904689</v>
      </c>
      <c r="P136" s="9" t="n">
        <f aca="false">MIN(N136,0)</f>
        <v>0</v>
      </c>
      <c r="Q136" s="8" t="n">
        <f aca="false">ROUND(L136,2)</f>
        <v>1.16</v>
      </c>
    </row>
    <row r="137" customFormat="false" ht="15" hidden="false" customHeight="false" outlineLevel="0" collapsed="false">
      <c r="A137" s="5" t="n">
        <v>133</v>
      </c>
      <c r="B137" s="6" t="s">
        <v>142</v>
      </c>
      <c r="C137" s="5" t="n">
        <v>501</v>
      </c>
      <c r="D137" s="6" t="s">
        <v>164</v>
      </c>
      <c r="E137" s="5" t="s">
        <v>25</v>
      </c>
      <c r="F137" s="5" t="s">
        <v>28</v>
      </c>
      <c r="G137" s="7" t="n">
        <v>48180000</v>
      </c>
      <c r="H137" s="7" t="n">
        <v>48708086</v>
      </c>
      <c r="I137" s="8" t="n">
        <f aca="false">IFERROR(H137/G137,0)</f>
        <v>1.01096068908261</v>
      </c>
      <c r="J137" s="9" t="n">
        <v>54190000</v>
      </c>
      <c r="K137" s="9" t="n">
        <v>41345490</v>
      </c>
      <c r="L137" s="8" t="n">
        <f aca="false">IFERROR(K137/J137,0)</f>
        <v>0.76297268868795</v>
      </c>
      <c r="M137" s="8" t="n">
        <f aca="false">IFERROR(J137/H137-1,0)</f>
        <v>0.112546282356486</v>
      </c>
      <c r="N137" s="9" t="n">
        <f aca="false">K137-J137</f>
        <v>-12844510</v>
      </c>
      <c r="O137" s="9" t="n">
        <f aca="false">MAX(N137,0)</f>
        <v>0</v>
      </c>
      <c r="P137" s="9" t="n">
        <f aca="false">MIN(N137,0)</f>
        <v>-12844510</v>
      </c>
      <c r="Q137" s="8" t="n">
        <f aca="false">ROUND(L137,2)</f>
        <v>0.76</v>
      </c>
    </row>
    <row r="138" customFormat="false" ht="15" hidden="false" customHeight="false" outlineLevel="0" collapsed="false">
      <c r="A138" s="5" t="n">
        <v>134</v>
      </c>
      <c r="B138" s="6" t="s">
        <v>142</v>
      </c>
      <c r="C138" s="5" t="n">
        <v>520</v>
      </c>
      <c r="D138" s="6" t="s">
        <v>165</v>
      </c>
      <c r="E138" s="5" t="s">
        <v>24</v>
      </c>
      <c r="F138" s="5" t="s">
        <v>21</v>
      </c>
      <c r="G138" s="7" t="n">
        <v>75890000</v>
      </c>
      <c r="H138" s="7" t="n">
        <v>56069734</v>
      </c>
      <c r="I138" s="8" t="n">
        <f aca="false">IFERROR(H138/G138,0)</f>
        <v>0.73882901568059</v>
      </c>
      <c r="J138" s="9" t="n">
        <v>91670000</v>
      </c>
      <c r="K138" s="9" t="n">
        <v>92073151</v>
      </c>
      <c r="L138" s="8" t="n">
        <f aca="false">IFERROR(K138/J138,0)</f>
        <v>1.00439785098724</v>
      </c>
      <c r="M138" s="8" t="n">
        <f aca="false">IFERROR(J138/H138-1,0)</f>
        <v>0.634928391135225</v>
      </c>
      <c r="N138" s="9" t="n">
        <f aca="false">K138-J138</f>
        <v>403151</v>
      </c>
      <c r="O138" s="9" t="n">
        <f aca="false">MAX(N138,0)</f>
        <v>403151</v>
      </c>
      <c r="P138" s="9" t="n">
        <f aca="false">MIN(N138,0)</f>
        <v>0</v>
      </c>
      <c r="Q138" s="8" t="n">
        <f aca="false">ROUND(L138,2)</f>
        <v>1</v>
      </c>
    </row>
    <row r="139" customFormat="false" ht="15" hidden="false" customHeight="false" outlineLevel="0" collapsed="false">
      <c r="A139" s="5" t="n">
        <v>135</v>
      </c>
      <c r="B139" s="6" t="s">
        <v>142</v>
      </c>
      <c r="C139" s="5" t="n">
        <v>521</v>
      </c>
      <c r="D139" s="6" t="s">
        <v>166</v>
      </c>
      <c r="E139" s="5" t="s">
        <v>30</v>
      </c>
      <c r="F139" s="5" t="s">
        <v>22</v>
      </c>
      <c r="G139" s="7" t="n">
        <v>108240000</v>
      </c>
      <c r="H139" s="7" t="n">
        <v>95438188</v>
      </c>
      <c r="I139" s="8" t="n">
        <f aca="false">IFERROR(H139/G139,0)</f>
        <v>0.881727531411678</v>
      </c>
      <c r="J139" s="9" t="n">
        <v>118020000</v>
      </c>
      <c r="K139" s="9" t="n">
        <v>155168611</v>
      </c>
      <c r="L139" s="8" t="n">
        <f aca="false">IFERROR(K139/J139,0)</f>
        <v>1.3147653872225</v>
      </c>
      <c r="M139" s="8" t="n">
        <f aca="false">IFERROR(J139/H139-1,0)</f>
        <v>0.236611910527891</v>
      </c>
      <c r="N139" s="9" t="n">
        <f aca="false">K139-J139</f>
        <v>37148611</v>
      </c>
      <c r="O139" s="9" t="n">
        <f aca="false">MAX(N139,0)</f>
        <v>37148611</v>
      </c>
      <c r="P139" s="9" t="n">
        <f aca="false">MIN(N139,0)</f>
        <v>0</v>
      </c>
      <c r="Q139" s="8" t="n">
        <f aca="false">ROUND(L139,2)</f>
        <v>1.31</v>
      </c>
    </row>
    <row r="140" customFormat="false" ht="15" hidden="false" customHeight="false" outlineLevel="0" collapsed="false">
      <c r="A140" s="5" t="n">
        <v>136</v>
      </c>
      <c r="B140" s="6" t="s">
        <v>142</v>
      </c>
      <c r="C140" s="5" t="n">
        <v>522</v>
      </c>
      <c r="D140" s="6" t="s">
        <v>167</v>
      </c>
      <c r="E140" s="5" t="s">
        <v>21</v>
      </c>
      <c r="F140" s="5" t="s">
        <v>21</v>
      </c>
      <c r="G140" s="7" t="n">
        <v>102100000</v>
      </c>
      <c r="H140" s="7" t="n">
        <v>122950000</v>
      </c>
      <c r="I140" s="8" t="n">
        <f aca="false">IFERROR(H140/G140,0)</f>
        <v>1.20421155729677</v>
      </c>
      <c r="J140" s="9" t="n">
        <v>116310000</v>
      </c>
      <c r="K140" s="9" t="n">
        <v>137092574</v>
      </c>
      <c r="L140" s="8" t="n">
        <f aca="false">IFERROR(K140/J140,0)</f>
        <v>1.17868260682658</v>
      </c>
      <c r="M140" s="8" t="n">
        <f aca="false">IFERROR(J140/H140-1,0)</f>
        <v>-0.0540056933712891</v>
      </c>
      <c r="N140" s="9" t="n">
        <f aca="false">K140-J140</f>
        <v>20782574</v>
      </c>
      <c r="O140" s="9" t="n">
        <f aca="false">MAX(N140,0)</f>
        <v>20782574</v>
      </c>
      <c r="P140" s="9" t="n">
        <f aca="false">MIN(N140,0)</f>
        <v>0</v>
      </c>
      <c r="Q140" s="8" t="n">
        <f aca="false">ROUND(L140,2)</f>
        <v>1.18</v>
      </c>
    </row>
    <row r="141" customFormat="false" ht="15" hidden="false" customHeight="false" outlineLevel="0" collapsed="false">
      <c r="A141" s="5" t="n">
        <v>137</v>
      </c>
      <c r="B141" s="6" t="s">
        <v>142</v>
      </c>
      <c r="C141" s="5" t="n">
        <v>523</v>
      </c>
      <c r="D141" s="6" t="s">
        <v>168</v>
      </c>
      <c r="E141" s="5" t="s">
        <v>25</v>
      </c>
      <c r="F141" s="5" t="s">
        <v>28</v>
      </c>
      <c r="G141" s="7" t="n">
        <v>58800000</v>
      </c>
      <c r="H141" s="7" t="n">
        <v>62600177</v>
      </c>
      <c r="I141" s="8" t="n">
        <f aca="false">IFERROR(H141/G141,0)</f>
        <v>1.06462886054422</v>
      </c>
      <c r="J141" s="9" t="n">
        <v>69370000</v>
      </c>
      <c r="K141" s="9" t="n">
        <v>60052954</v>
      </c>
      <c r="L141" s="8" t="n">
        <f aca="false">IFERROR(K141/J141,0)</f>
        <v>0.865690557878045</v>
      </c>
      <c r="M141" s="8" t="n">
        <f aca="false">IFERROR(J141/H141-1,0)</f>
        <v>0.108143831606099</v>
      </c>
      <c r="N141" s="9" t="n">
        <f aca="false">K141-J141</f>
        <v>-9317046</v>
      </c>
      <c r="O141" s="9" t="n">
        <f aca="false">MAX(N141,0)</f>
        <v>0</v>
      </c>
      <c r="P141" s="9" t="n">
        <f aca="false">MIN(N141,0)</f>
        <v>-9317046</v>
      </c>
      <c r="Q141" s="8" t="n">
        <f aca="false">ROUND(L141,2)</f>
        <v>0.87</v>
      </c>
    </row>
    <row r="142" customFormat="false" ht="15" hidden="false" customHeight="false" outlineLevel="0" collapsed="false">
      <c r="A142" s="5" t="n">
        <v>138</v>
      </c>
      <c r="B142" s="6" t="s">
        <v>142</v>
      </c>
      <c r="C142" s="5" t="n">
        <v>524</v>
      </c>
      <c r="D142" s="6" t="s">
        <v>169</v>
      </c>
      <c r="E142" s="5" t="s">
        <v>25</v>
      </c>
      <c r="F142" s="5" t="s">
        <v>28</v>
      </c>
      <c r="G142" s="7" t="n">
        <v>49730000</v>
      </c>
      <c r="H142" s="7" t="n">
        <v>51283118</v>
      </c>
      <c r="I142" s="8" t="n">
        <f aca="false">IFERROR(H142/G142,0)</f>
        <v>1.03123100744018</v>
      </c>
      <c r="J142" s="9" t="n">
        <v>56950000</v>
      </c>
      <c r="K142" s="9" t="n">
        <v>50759587</v>
      </c>
      <c r="L142" s="8" t="n">
        <f aca="false">IFERROR(K142/J142,0)</f>
        <v>0.891300913081651</v>
      </c>
      <c r="M142" s="8" t="n">
        <f aca="false">IFERROR(J142/H142-1,0)</f>
        <v>0.110501900449969</v>
      </c>
      <c r="N142" s="9" t="n">
        <f aca="false">K142-J142</f>
        <v>-6190413</v>
      </c>
      <c r="O142" s="9" t="n">
        <f aca="false">MAX(N142,0)</f>
        <v>0</v>
      </c>
      <c r="P142" s="9" t="n">
        <f aca="false">MIN(N142,0)</f>
        <v>-6190413</v>
      </c>
      <c r="Q142" s="8" t="n">
        <f aca="false">ROUND(L142,2)</f>
        <v>0.89</v>
      </c>
    </row>
    <row r="143" customFormat="false" ht="15" hidden="false" customHeight="false" outlineLevel="0" collapsed="false">
      <c r="A143" s="5" t="n">
        <v>139</v>
      </c>
      <c r="B143" s="6" t="s">
        <v>142</v>
      </c>
      <c r="C143" s="5" t="n">
        <v>540</v>
      </c>
      <c r="D143" s="6" t="s">
        <v>170</v>
      </c>
      <c r="E143" s="5" t="s">
        <v>27</v>
      </c>
      <c r="F143" s="5" t="s">
        <v>28</v>
      </c>
      <c r="G143" s="7" t="n">
        <v>40060000</v>
      </c>
      <c r="H143" s="7" t="n">
        <v>38364770</v>
      </c>
      <c r="I143" s="8" t="n">
        <f aca="false">IFERROR(H143/G143,0)</f>
        <v>0.957682725911133</v>
      </c>
      <c r="J143" s="9" t="n">
        <v>44770000</v>
      </c>
      <c r="K143" s="9" t="n">
        <v>35583535</v>
      </c>
      <c r="L143" s="8" t="n">
        <f aca="false">IFERROR(K143/J143,0)</f>
        <v>0.794807572034845</v>
      </c>
      <c r="M143" s="8" t="n">
        <f aca="false">IFERROR(J143/H143-1,0)</f>
        <v>0.16695603805262</v>
      </c>
      <c r="N143" s="9" t="n">
        <f aca="false">K143-J143</f>
        <v>-9186465</v>
      </c>
      <c r="O143" s="9" t="n">
        <f aca="false">MAX(N143,0)</f>
        <v>0</v>
      </c>
      <c r="P143" s="9" t="n">
        <f aca="false">MIN(N143,0)</f>
        <v>-9186465</v>
      </c>
      <c r="Q143" s="8" t="n">
        <f aca="false">ROUND(L143,2)</f>
        <v>0.79</v>
      </c>
    </row>
    <row r="144" customFormat="false" ht="15" hidden="false" customHeight="false" outlineLevel="0" collapsed="false">
      <c r="A144" s="5" t="n">
        <v>140</v>
      </c>
      <c r="B144" s="6" t="s">
        <v>142</v>
      </c>
      <c r="C144" s="5" t="n">
        <v>541</v>
      </c>
      <c r="D144" s="6" t="s">
        <v>171</v>
      </c>
      <c r="E144" s="5" t="s">
        <v>25</v>
      </c>
      <c r="F144" s="5" t="s">
        <v>21</v>
      </c>
      <c r="G144" s="7" t="n">
        <v>59260000</v>
      </c>
      <c r="H144" s="7" t="n">
        <v>62791953</v>
      </c>
      <c r="I144" s="8" t="n">
        <f aca="false">IFERROR(H144/G144,0)</f>
        <v>1.05960096186298</v>
      </c>
      <c r="J144" s="9" t="n">
        <v>69680000</v>
      </c>
      <c r="K144" s="9" t="n">
        <v>70664558</v>
      </c>
      <c r="L144" s="8" t="n">
        <f aca="false">IFERROR(K144/J144,0)</f>
        <v>1.01412970723307</v>
      </c>
      <c r="M144" s="8" t="n">
        <f aca="false">IFERROR(J144/H144-1,0)</f>
        <v>0.109696333222826</v>
      </c>
      <c r="N144" s="9" t="n">
        <f aca="false">K144-J144</f>
        <v>984558</v>
      </c>
      <c r="O144" s="9" t="n">
        <f aca="false">MAX(N144,0)</f>
        <v>984558</v>
      </c>
      <c r="P144" s="9" t="n">
        <f aca="false">MIN(N144,0)</f>
        <v>0</v>
      </c>
      <c r="Q144" s="8" t="n">
        <f aca="false">ROUND(L144,2)</f>
        <v>1.01</v>
      </c>
    </row>
    <row r="145" customFormat="false" ht="15" hidden="false" customHeight="false" outlineLevel="0" collapsed="false">
      <c r="A145" s="5" t="n">
        <v>141</v>
      </c>
      <c r="B145" s="6" t="s">
        <v>142</v>
      </c>
      <c r="C145" s="5" t="n">
        <v>542</v>
      </c>
      <c r="D145" s="6" t="s">
        <v>172</v>
      </c>
      <c r="E145" s="5" t="s">
        <v>30</v>
      </c>
      <c r="F145" s="5" t="s">
        <v>28</v>
      </c>
      <c r="G145" s="7" t="n">
        <v>40450000</v>
      </c>
      <c r="H145" s="7" t="n">
        <v>35429081</v>
      </c>
      <c r="I145" s="8" t="n">
        <f aca="false">IFERROR(H145/G145,0)</f>
        <v>0.875873448702101</v>
      </c>
      <c r="J145" s="9" t="n">
        <v>47050000</v>
      </c>
      <c r="K145" s="9" t="n">
        <v>36285614</v>
      </c>
      <c r="L145" s="8" t="n">
        <f aca="false">IFERROR(K145/J145,0)</f>
        <v>0.77121390010627</v>
      </c>
      <c r="M145" s="8" t="n">
        <f aca="false">IFERROR(J145/H145-1,0)</f>
        <v>0.32800509276546</v>
      </c>
      <c r="N145" s="9" t="n">
        <f aca="false">K145-J145</f>
        <v>-10764386</v>
      </c>
      <c r="O145" s="9" t="n">
        <f aca="false">MAX(N145,0)</f>
        <v>0</v>
      </c>
      <c r="P145" s="9" t="n">
        <f aca="false">MIN(N145,0)</f>
        <v>-10764386</v>
      </c>
      <c r="Q145" s="8" t="n">
        <f aca="false">ROUND(L145,2)</f>
        <v>0.77</v>
      </c>
    </row>
    <row r="146" customFormat="false" ht="15" hidden="false" customHeight="false" outlineLevel="0" collapsed="false">
      <c r="A146" s="5" t="n">
        <v>142</v>
      </c>
      <c r="B146" s="6" t="s">
        <v>142</v>
      </c>
      <c r="C146" s="5" t="n">
        <v>600</v>
      </c>
      <c r="D146" s="6" t="s">
        <v>173</v>
      </c>
      <c r="E146" s="5" t="s">
        <v>28</v>
      </c>
      <c r="F146" s="5" t="s">
        <v>21</v>
      </c>
      <c r="G146" s="7" t="n">
        <v>59600000</v>
      </c>
      <c r="H146" s="7" t="n">
        <v>69320143</v>
      </c>
      <c r="I146" s="8" t="n">
        <f aca="false">IFERROR(H146/G146,0)</f>
        <v>1.16308964765101</v>
      </c>
      <c r="J146" s="9" t="n">
        <v>75270000</v>
      </c>
      <c r="K146" s="9" t="n">
        <v>79745143</v>
      </c>
      <c r="L146" s="8" t="n">
        <f aca="false">IFERROR(K146/J146,0)</f>
        <v>1.05945453700013</v>
      </c>
      <c r="M146" s="8" t="n">
        <f aca="false">IFERROR(J146/H146-1,0)</f>
        <v>0.0858315742366544</v>
      </c>
      <c r="N146" s="9" t="n">
        <f aca="false">K146-J146</f>
        <v>4475143</v>
      </c>
      <c r="O146" s="9" t="n">
        <f aca="false">MAX(N146,0)</f>
        <v>4475143</v>
      </c>
      <c r="P146" s="9" t="n">
        <f aca="false">MIN(N146,0)</f>
        <v>0</v>
      </c>
      <c r="Q146" s="8" t="n">
        <f aca="false">ROUND(L146,2)</f>
        <v>1.06</v>
      </c>
    </row>
    <row r="147" customFormat="false" ht="15" hidden="false" customHeight="false" outlineLevel="0" collapsed="false">
      <c r="A147" s="5" t="n">
        <v>143</v>
      </c>
      <c r="B147" s="6" t="s">
        <v>142</v>
      </c>
      <c r="C147" s="5" t="n">
        <v>601</v>
      </c>
      <c r="D147" s="6" t="s">
        <v>174</v>
      </c>
      <c r="E147" s="5" t="s">
        <v>25</v>
      </c>
      <c r="F147" s="5" t="s">
        <v>21</v>
      </c>
      <c r="G147" s="7" t="n">
        <v>59060000</v>
      </c>
      <c r="H147" s="7" t="n">
        <v>63868780</v>
      </c>
      <c r="I147" s="8" t="n">
        <f aca="false">IFERROR(H147/G147,0)</f>
        <v>1.08142194378598</v>
      </c>
      <c r="J147" s="9" t="n">
        <v>70850000</v>
      </c>
      <c r="K147" s="9" t="n">
        <v>72465355</v>
      </c>
      <c r="L147" s="8" t="n">
        <f aca="false">IFERROR(K147/J147,0)</f>
        <v>1.02279964714185</v>
      </c>
      <c r="M147" s="8" t="n">
        <f aca="false">IFERROR(J147/H147-1,0)</f>
        <v>0.109305673288264</v>
      </c>
      <c r="N147" s="9" t="n">
        <f aca="false">K147-J147</f>
        <v>1615355</v>
      </c>
      <c r="O147" s="9" t="n">
        <f aca="false">MAX(N147,0)</f>
        <v>1615355</v>
      </c>
      <c r="P147" s="9" t="n">
        <f aca="false">MIN(N147,0)</f>
        <v>0</v>
      </c>
      <c r="Q147" s="8" t="n">
        <f aca="false">ROUND(L147,2)</f>
        <v>1.02</v>
      </c>
    </row>
    <row r="148" customFormat="false" ht="15" hidden="false" customHeight="false" outlineLevel="0" collapsed="false">
      <c r="A148" s="5" t="n">
        <v>144</v>
      </c>
      <c r="B148" s="6" t="s">
        <v>142</v>
      </c>
      <c r="C148" s="5" t="n">
        <v>602</v>
      </c>
      <c r="D148" s="6" t="s">
        <v>175</v>
      </c>
      <c r="E148" s="5" t="s">
        <v>21</v>
      </c>
      <c r="F148" s="5" t="s">
        <v>28</v>
      </c>
      <c r="G148" s="7" t="n">
        <v>38410000</v>
      </c>
      <c r="H148" s="7" t="n">
        <v>49098402</v>
      </c>
      <c r="I148" s="8" t="n">
        <f aca="false">IFERROR(H148/G148,0)</f>
        <v>1.27827133558969</v>
      </c>
      <c r="J148" s="9" t="n">
        <v>48500000</v>
      </c>
      <c r="K148" s="9" t="n">
        <v>45508119</v>
      </c>
      <c r="L148" s="8" t="n">
        <f aca="false">IFERROR(K148/J148,0)</f>
        <v>0.938311731958763</v>
      </c>
      <c r="M148" s="8" t="n">
        <f aca="false">IFERROR(J148/H148-1,0)</f>
        <v>-0.0121878101042882</v>
      </c>
      <c r="N148" s="9" t="n">
        <f aca="false">K148-J148</f>
        <v>-2991881</v>
      </c>
      <c r="O148" s="9" t="n">
        <f aca="false">MAX(N148,0)</f>
        <v>0</v>
      </c>
      <c r="P148" s="9" t="n">
        <f aca="false">MIN(N148,0)</f>
        <v>-2991881</v>
      </c>
      <c r="Q148" s="8" t="n">
        <f aca="false">ROUND(L148,2)</f>
        <v>0.94</v>
      </c>
    </row>
    <row r="149" customFormat="false" ht="15" hidden="false" customHeight="false" outlineLevel="0" collapsed="false">
      <c r="A149" s="5" t="n">
        <v>145</v>
      </c>
      <c r="B149" s="6" t="s">
        <v>176</v>
      </c>
      <c r="C149" s="5" t="n">
        <v>620</v>
      </c>
      <c r="D149" s="6" t="s">
        <v>177</v>
      </c>
      <c r="E149" s="5" t="s">
        <v>27</v>
      </c>
      <c r="F149" s="5" t="s">
        <v>22</v>
      </c>
      <c r="G149" s="7" t="n">
        <v>55690000</v>
      </c>
      <c r="H149" s="7" t="n">
        <v>50050513</v>
      </c>
      <c r="I149" s="8" t="n">
        <f aca="false">IFERROR(H149/G149,0)</f>
        <v>0.898734297001257</v>
      </c>
      <c r="J149" s="9" t="n">
        <v>61950000</v>
      </c>
      <c r="K149" s="9" t="n">
        <v>76512317</v>
      </c>
      <c r="L149" s="8" t="n">
        <f aca="false">IFERROR(K149/J149,0)</f>
        <v>1.23506564971751</v>
      </c>
      <c r="M149" s="8" t="n">
        <f aca="false">IFERROR(J149/H149-1,0)</f>
        <v>0.237749551138467</v>
      </c>
      <c r="N149" s="9" t="n">
        <f aca="false">K149-J149</f>
        <v>14562317</v>
      </c>
      <c r="O149" s="9" t="n">
        <f aca="false">MAX(N149,0)</f>
        <v>14562317</v>
      </c>
      <c r="P149" s="9" t="n">
        <f aca="false">MIN(N149,0)</f>
        <v>0</v>
      </c>
      <c r="Q149" s="8" t="n">
        <f aca="false">ROUND(L149,2)</f>
        <v>1.24</v>
      </c>
    </row>
    <row r="150" customFormat="false" ht="15" hidden="false" customHeight="false" outlineLevel="0" collapsed="false">
      <c r="A150" s="5" t="n">
        <v>146</v>
      </c>
      <c r="B150" s="6" t="s">
        <v>176</v>
      </c>
      <c r="C150" s="5" t="n">
        <v>621</v>
      </c>
      <c r="D150" s="6" t="s">
        <v>178</v>
      </c>
      <c r="E150" s="5" t="s">
        <v>27</v>
      </c>
      <c r="F150" s="5" t="s">
        <v>25</v>
      </c>
      <c r="G150" s="7" t="n">
        <v>76650000</v>
      </c>
      <c r="H150" s="7" t="n">
        <v>75774864</v>
      </c>
      <c r="I150" s="8" t="n">
        <f aca="false">IFERROR(H150/G150,0)</f>
        <v>0.988582700587084</v>
      </c>
      <c r="J150" s="9" t="n">
        <v>85180000</v>
      </c>
      <c r="K150" s="9" t="n">
        <v>60267983</v>
      </c>
      <c r="L150" s="8" t="n">
        <f aca="false">IFERROR(K150/J150,0)</f>
        <v>0.707536780934492</v>
      </c>
      <c r="M150" s="8" t="n">
        <f aca="false">IFERROR(J150/H150-1,0)</f>
        <v>0.124119470541049</v>
      </c>
      <c r="N150" s="9" t="n">
        <f aca="false">K150-J150</f>
        <v>-24912017</v>
      </c>
      <c r="O150" s="9" t="n">
        <f aca="false">MAX(N150,0)</f>
        <v>0</v>
      </c>
      <c r="P150" s="9" t="n">
        <f aca="false">MIN(N150,0)</f>
        <v>-24912017</v>
      </c>
      <c r="Q150" s="8" t="n">
        <f aca="false">ROUND(L150,2)</f>
        <v>0.71</v>
      </c>
    </row>
    <row r="151" customFormat="false" ht="15" hidden="false" customHeight="false" outlineLevel="0" collapsed="false">
      <c r="A151" s="5" t="n">
        <v>147</v>
      </c>
      <c r="B151" s="6" t="s">
        <v>176</v>
      </c>
      <c r="C151" s="5" t="n">
        <v>622</v>
      </c>
      <c r="D151" s="6" t="s">
        <v>179</v>
      </c>
      <c r="E151" s="5" t="s">
        <v>30</v>
      </c>
      <c r="F151" s="5" t="s">
        <v>28</v>
      </c>
      <c r="G151" s="7" t="n">
        <v>65160000</v>
      </c>
      <c r="H151" s="7" t="n">
        <v>50548519</v>
      </c>
      <c r="I151" s="8" t="n">
        <f aca="false">IFERROR(H151/G151,0)</f>
        <v>0.77575996009822</v>
      </c>
      <c r="J151" s="9" t="n">
        <v>75450000</v>
      </c>
      <c r="K151" s="9" t="n">
        <v>74977980</v>
      </c>
      <c r="L151" s="8" t="n">
        <f aca="false">IFERROR(K151/J151,0)</f>
        <v>0.99374393638171</v>
      </c>
      <c r="M151" s="8" t="n">
        <f aca="false">IFERROR(J151/H151-1,0)</f>
        <v>0.492625332900456</v>
      </c>
      <c r="N151" s="9" t="n">
        <f aca="false">K151-J151</f>
        <v>-472020</v>
      </c>
      <c r="O151" s="9" t="n">
        <f aca="false">MAX(N151,0)</f>
        <v>0</v>
      </c>
      <c r="P151" s="9" t="n">
        <f aca="false">MIN(N151,0)</f>
        <v>-472020</v>
      </c>
      <c r="Q151" s="8" t="n">
        <f aca="false">ROUND(L151,2)</f>
        <v>0.99</v>
      </c>
    </row>
    <row r="152" customFormat="false" ht="15" hidden="false" customHeight="false" outlineLevel="0" collapsed="false">
      <c r="A152" s="5" t="n">
        <v>148</v>
      </c>
      <c r="B152" s="6" t="s">
        <v>176</v>
      </c>
      <c r="C152" s="5" t="n">
        <v>640</v>
      </c>
      <c r="D152" s="6" t="s">
        <v>180</v>
      </c>
      <c r="E152" s="5" t="s">
        <v>21</v>
      </c>
      <c r="F152" s="5" t="s">
        <v>22</v>
      </c>
      <c r="G152" s="7" t="n">
        <v>85570000</v>
      </c>
      <c r="H152" s="7" t="n">
        <v>106534924</v>
      </c>
      <c r="I152" s="8" t="n">
        <f aca="false">IFERROR(H152/G152,0)</f>
        <v>1.2450032020568</v>
      </c>
      <c r="J152" s="9" t="n">
        <v>101430000</v>
      </c>
      <c r="K152" s="9" t="n">
        <v>121347283</v>
      </c>
      <c r="L152" s="8" t="n">
        <f aca="false">IFERROR(K152/J152,0)</f>
        <v>1.19636481317165</v>
      </c>
      <c r="M152" s="8" t="n">
        <f aca="false">IFERROR(J152/H152-1,0)</f>
        <v>-0.0479178452316725</v>
      </c>
      <c r="N152" s="9" t="n">
        <f aca="false">K152-J152</f>
        <v>19917283</v>
      </c>
      <c r="O152" s="9" t="n">
        <f aca="false">MAX(N152,0)</f>
        <v>19917283</v>
      </c>
      <c r="P152" s="9" t="n">
        <f aca="false">MIN(N152,0)</f>
        <v>0</v>
      </c>
      <c r="Q152" s="8" t="n">
        <f aca="false">ROUND(L152,2)</f>
        <v>1.2</v>
      </c>
    </row>
    <row r="153" customFormat="false" ht="15" hidden="false" customHeight="false" outlineLevel="0" collapsed="false">
      <c r="A153" s="5" t="n">
        <v>149</v>
      </c>
      <c r="B153" s="6" t="s">
        <v>176</v>
      </c>
      <c r="C153" s="5" t="n">
        <v>642</v>
      </c>
      <c r="D153" s="6" t="s">
        <v>181</v>
      </c>
      <c r="E153" s="5" t="s">
        <v>25</v>
      </c>
      <c r="F153" s="5" t="s">
        <v>28</v>
      </c>
      <c r="G153" s="7" t="n">
        <v>81020000</v>
      </c>
      <c r="H153" s="7" t="n">
        <v>87914452</v>
      </c>
      <c r="I153" s="8" t="n">
        <f aca="false">IFERROR(H153/G153,0)</f>
        <v>1.08509568007899</v>
      </c>
      <c r="J153" s="9" t="n">
        <v>95940000</v>
      </c>
      <c r="K153" s="9" t="n">
        <v>74163500</v>
      </c>
      <c r="L153" s="8" t="n">
        <f aca="false">IFERROR(K153/J153,0)</f>
        <v>0.773019595580571</v>
      </c>
      <c r="M153" s="8" t="n">
        <f aca="false">IFERROR(J153/H153-1,0)</f>
        <v>0.0912881536246168</v>
      </c>
      <c r="N153" s="9" t="n">
        <f aca="false">K153-J153</f>
        <v>-21776500</v>
      </c>
      <c r="O153" s="9" t="n">
        <f aca="false">MAX(N153,0)</f>
        <v>0</v>
      </c>
      <c r="P153" s="9" t="n">
        <f aca="false">MIN(N153,0)</f>
        <v>-21776500</v>
      </c>
      <c r="Q153" s="8" t="n">
        <f aca="false">ROUND(L153,2)</f>
        <v>0.77</v>
      </c>
    </row>
    <row r="154" customFormat="false" ht="15" hidden="false" customHeight="false" outlineLevel="0" collapsed="false">
      <c r="A154" s="5" t="n">
        <v>150</v>
      </c>
      <c r="B154" s="6" t="s">
        <v>176</v>
      </c>
      <c r="C154" s="5" t="n">
        <v>643</v>
      </c>
      <c r="D154" s="6" t="s">
        <v>182</v>
      </c>
      <c r="E154" s="5" t="s">
        <v>25</v>
      </c>
      <c r="F154" s="5" t="s">
        <v>21</v>
      </c>
      <c r="G154" s="7" t="n">
        <v>43200000</v>
      </c>
      <c r="H154" s="7" t="n">
        <v>45846344</v>
      </c>
      <c r="I154" s="8" t="n">
        <f aca="false">IFERROR(H154/G154,0)</f>
        <v>1.06125796296296</v>
      </c>
      <c r="J154" s="9" t="n">
        <v>50950000</v>
      </c>
      <c r="K154" s="9" t="n">
        <v>55674017</v>
      </c>
      <c r="L154" s="8" t="n">
        <f aca="false">IFERROR(K154/J154,0)</f>
        <v>1.09271868498528</v>
      </c>
      <c r="M154" s="8" t="n">
        <f aca="false">IFERROR(J154/H154-1,0)</f>
        <v>0.11132089398448</v>
      </c>
      <c r="N154" s="9" t="n">
        <f aca="false">K154-J154</f>
        <v>4724017</v>
      </c>
      <c r="O154" s="9" t="n">
        <f aca="false">MAX(N154,0)</f>
        <v>4724017</v>
      </c>
      <c r="P154" s="9" t="n">
        <f aca="false">MIN(N154,0)</f>
        <v>0</v>
      </c>
      <c r="Q154" s="8" t="n">
        <f aca="false">ROUND(L154,2)</f>
        <v>1.09</v>
      </c>
    </row>
    <row r="155" customFormat="false" ht="15" hidden="false" customHeight="false" outlineLevel="0" collapsed="false">
      <c r="A155" s="5" t="n">
        <v>151</v>
      </c>
      <c r="B155" s="6" t="s">
        <v>176</v>
      </c>
      <c r="C155" s="5" t="n">
        <v>644</v>
      </c>
      <c r="D155" s="6" t="s">
        <v>183</v>
      </c>
      <c r="E155" s="5" t="s">
        <v>30</v>
      </c>
      <c r="F155" s="5" t="s">
        <v>25</v>
      </c>
      <c r="G155" s="7" t="n">
        <v>62020000</v>
      </c>
      <c r="H155" s="7" t="n">
        <v>47177448</v>
      </c>
      <c r="I155" s="8" t="n">
        <f aca="false">IFERROR(H155/G155,0)</f>
        <v>0.760681199613028</v>
      </c>
      <c r="J155" s="9" t="n">
        <v>71900000</v>
      </c>
      <c r="K155" s="9" t="n">
        <v>47154352</v>
      </c>
      <c r="L155" s="8" t="n">
        <f aca="false">IFERROR(K155/J155,0)</f>
        <v>0.655832433936022</v>
      </c>
      <c r="M155" s="8" t="n">
        <f aca="false">IFERROR(J155/H155-1,0)</f>
        <v>0.524033262672453</v>
      </c>
      <c r="N155" s="9" t="n">
        <f aca="false">K155-J155</f>
        <v>-24745648</v>
      </c>
      <c r="O155" s="9" t="n">
        <f aca="false">MAX(N155,0)</f>
        <v>0</v>
      </c>
      <c r="P155" s="9" t="n">
        <f aca="false">MIN(N155,0)</f>
        <v>-24745648</v>
      </c>
      <c r="Q155" s="8" t="n">
        <f aca="false">ROUND(L155,2)</f>
        <v>0.66</v>
      </c>
    </row>
    <row r="156" customFormat="false" ht="15" hidden="false" customHeight="false" outlineLevel="0" collapsed="false">
      <c r="A156" s="5" t="n">
        <v>152</v>
      </c>
      <c r="B156" s="6" t="s">
        <v>176</v>
      </c>
      <c r="C156" s="5" t="n">
        <v>645</v>
      </c>
      <c r="D156" s="6" t="s">
        <v>184</v>
      </c>
      <c r="E156" s="5" t="s">
        <v>30</v>
      </c>
      <c r="F156" s="5" t="s">
        <v>21</v>
      </c>
      <c r="G156" s="7" t="n">
        <v>61470000</v>
      </c>
      <c r="H156" s="7" t="n">
        <v>50429745</v>
      </c>
      <c r="I156" s="8" t="n">
        <f aca="false">IFERROR(H156/G156,0)</f>
        <v>0.820396046852123</v>
      </c>
      <c r="J156" s="9" t="n">
        <v>71530000</v>
      </c>
      <c r="K156" s="9" t="n">
        <v>72888784</v>
      </c>
      <c r="L156" s="8" t="n">
        <f aca="false">IFERROR(K156/J156,0)</f>
        <v>1.01899600167762</v>
      </c>
      <c r="M156" s="8" t="n">
        <f aca="false">IFERROR(J156/H156-1,0)</f>
        <v>0.418408917197578</v>
      </c>
      <c r="N156" s="9" t="n">
        <f aca="false">K156-J156</f>
        <v>1358784</v>
      </c>
      <c r="O156" s="9" t="n">
        <f aca="false">MAX(N156,0)</f>
        <v>1358784</v>
      </c>
      <c r="P156" s="9" t="n">
        <f aca="false">MIN(N156,0)</f>
        <v>0</v>
      </c>
      <c r="Q156" s="8" t="n">
        <f aca="false">ROUND(L156,2)</f>
        <v>1.02</v>
      </c>
    </row>
    <row r="157" customFormat="false" ht="15" hidden="false" customHeight="false" outlineLevel="0" collapsed="false">
      <c r="A157" s="5" t="n">
        <v>153</v>
      </c>
      <c r="B157" s="6" t="s">
        <v>176</v>
      </c>
      <c r="C157" s="5" t="n">
        <v>646</v>
      </c>
      <c r="D157" s="6" t="s">
        <v>185</v>
      </c>
      <c r="E157" s="5" t="s">
        <v>30</v>
      </c>
      <c r="F157" s="5" t="s">
        <v>28</v>
      </c>
      <c r="G157" s="7" t="n">
        <v>41400000</v>
      </c>
      <c r="H157" s="7" t="n">
        <v>37050196</v>
      </c>
      <c r="I157" s="8" t="n">
        <f aca="false">IFERROR(H157/G157,0)</f>
        <v>0.894932270531401</v>
      </c>
      <c r="J157" s="9" t="n">
        <v>48300000</v>
      </c>
      <c r="K157" s="9" t="n">
        <v>37655999</v>
      </c>
      <c r="L157" s="8" t="n">
        <f aca="false">IFERROR(K157/J157,0)</f>
        <v>0.779627308488613</v>
      </c>
      <c r="M157" s="8" t="n">
        <f aca="false">IFERROR(J157/H157-1,0)</f>
        <v>0.303636828264013</v>
      </c>
      <c r="N157" s="9" t="n">
        <f aca="false">K157-J157</f>
        <v>-10644001</v>
      </c>
      <c r="O157" s="9" t="n">
        <f aca="false">MAX(N157,0)</f>
        <v>0</v>
      </c>
      <c r="P157" s="9" t="n">
        <f aca="false">MIN(N157,0)</f>
        <v>-10644001</v>
      </c>
      <c r="Q157" s="8" t="n">
        <f aca="false">ROUND(L157,2)</f>
        <v>0.78</v>
      </c>
    </row>
    <row r="158" customFormat="false" ht="15" hidden="false" customHeight="false" outlineLevel="0" collapsed="false">
      <c r="A158" s="5" t="n">
        <v>154</v>
      </c>
      <c r="B158" s="6" t="s">
        <v>176</v>
      </c>
      <c r="C158" s="5" t="n">
        <v>647</v>
      </c>
      <c r="D158" s="6" t="s">
        <v>186</v>
      </c>
      <c r="E158" s="5" t="s">
        <v>27</v>
      </c>
      <c r="F158" s="5" t="s">
        <v>21</v>
      </c>
      <c r="G158" s="7" t="n">
        <v>57400000</v>
      </c>
      <c r="H158" s="7" t="n">
        <v>56828782</v>
      </c>
      <c r="I158" s="8" t="n">
        <f aca="false">IFERROR(H158/G158,0)</f>
        <v>0.990048466898955</v>
      </c>
      <c r="J158" s="9" t="n">
        <v>63960000</v>
      </c>
      <c r="K158" s="9" t="n">
        <v>64370511</v>
      </c>
      <c r="L158" s="8" t="n">
        <f aca="false">IFERROR(K158/J158,0)</f>
        <v>1.00641824577861</v>
      </c>
      <c r="M158" s="8" t="n">
        <f aca="false">IFERROR(J158/H158-1,0)</f>
        <v>0.125486025725485</v>
      </c>
      <c r="N158" s="9" t="n">
        <f aca="false">K158-J158</f>
        <v>410511</v>
      </c>
      <c r="O158" s="9" t="n">
        <f aca="false">MAX(N158,0)</f>
        <v>410511</v>
      </c>
      <c r="P158" s="9" t="n">
        <f aca="false">MIN(N158,0)</f>
        <v>0</v>
      </c>
      <c r="Q158" s="8" t="n">
        <f aca="false">ROUND(L158,2)</f>
        <v>1.01</v>
      </c>
    </row>
    <row r="159" customFormat="false" ht="15" hidden="false" customHeight="false" outlineLevel="0" collapsed="false">
      <c r="A159" s="5" t="n">
        <v>155</v>
      </c>
      <c r="B159" s="6" t="s">
        <v>176</v>
      </c>
      <c r="C159" s="5" t="n">
        <v>648</v>
      </c>
      <c r="D159" s="6" t="s">
        <v>187</v>
      </c>
      <c r="E159" s="5" t="s">
        <v>25</v>
      </c>
      <c r="F159" s="5" t="s">
        <v>22</v>
      </c>
      <c r="G159" s="7" t="n">
        <v>43810000</v>
      </c>
      <c r="H159" s="7" t="n">
        <v>44741875</v>
      </c>
      <c r="I159" s="8" t="n">
        <f aca="false">IFERROR(H159/G159,0)</f>
        <v>1.02127082857795</v>
      </c>
      <c r="J159" s="9" t="n">
        <v>49760000</v>
      </c>
      <c r="K159" s="9" t="n">
        <v>66452314</v>
      </c>
      <c r="L159" s="8" t="n">
        <f aca="false">IFERROR(K159/J159,0)</f>
        <v>1.33545647106109</v>
      </c>
      <c r="M159" s="8" t="n">
        <f aca="false">IFERROR(J159/H159-1,0)</f>
        <v>0.112157235252211</v>
      </c>
      <c r="N159" s="9" t="n">
        <f aca="false">K159-J159</f>
        <v>16692314</v>
      </c>
      <c r="O159" s="9" t="n">
        <f aca="false">MAX(N159,0)</f>
        <v>16692314</v>
      </c>
      <c r="P159" s="9" t="n">
        <f aca="false">MIN(N159,0)</f>
        <v>0</v>
      </c>
      <c r="Q159" s="8" t="n">
        <f aca="false">ROUND(L159,2)</f>
        <v>1.34</v>
      </c>
    </row>
    <row r="160" customFormat="false" ht="15" hidden="false" customHeight="false" outlineLevel="0" collapsed="false">
      <c r="A160" s="5" t="n">
        <v>156</v>
      </c>
      <c r="B160" s="6" t="s">
        <v>176</v>
      </c>
      <c r="C160" s="5" t="n">
        <v>681</v>
      </c>
      <c r="D160" s="6" t="s">
        <v>188</v>
      </c>
      <c r="E160" s="5" t="s">
        <v>30</v>
      </c>
      <c r="F160" s="5" t="s">
        <v>25</v>
      </c>
      <c r="G160" s="7" t="n">
        <v>47630000</v>
      </c>
      <c r="H160" s="7" t="n">
        <v>38615880</v>
      </c>
      <c r="I160" s="8" t="n">
        <f aca="false">IFERROR(H160/G160,0)</f>
        <v>0.810747008188117</v>
      </c>
      <c r="J160" s="9" t="n">
        <v>55770000</v>
      </c>
      <c r="K160" s="9" t="n">
        <v>38567689</v>
      </c>
      <c r="L160" s="8" t="n">
        <f aca="false">IFERROR(K160/J160,0)</f>
        <v>0.6915490227721</v>
      </c>
      <c r="M160" s="8" t="n">
        <f aca="false">IFERROR(J160/H160-1,0)</f>
        <v>0.444224500386887</v>
      </c>
      <c r="N160" s="9" t="n">
        <f aca="false">K160-J160</f>
        <v>-17202311</v>
      </c>
      <c r="O160" s="9" t="n">
        <f aca="false">MAX(N160,0)</f>
        <v>0</v>
      </c>
      <c r="P160" s="9" t="n">
        <f aca="false">MIN(N160,0)</f>
        <v>-17202311</v>
      </c>
      <c r="Q160" s="8" t="n">
        <f aca="false">ROUND(L160,2)</f>
        <v>0.69</v>
      </c>
    </row>
    <row r="161" customFormat="false" ht="15" hidden="false" customHeight="false" outlineLevel="0" collapsed="false">
      <c r="A161" s="5" t="n">
        <v>157</v>
      </c>
      <c r="B161" s="6" t="s">
        <v>176</v>
      </c>
      <c r="C161" s="5" t="n">
        <v>700</v>
      </c>
      <c r="D161" s="6" t="s">
        <v>189</v>
      </c>
      <c r="E161" s="5" t="s">
        <v>28</v>
      </c>
      <c r="F161" s="5" t="s">
        <v>22</v>
      </c>
      <c r="G161" s="7" t="n">
        <v>73780000</v>
      </c>
      <c r="H161" s="7" t="n">
        <v>82697707</v>
      </c>
      <c r="I161" s="8" t="n">
        <f aca="false">IFERROR(H161/G161,0)</f>
        <v>1.12086889400922</v>
      </c>
      <c r="J161" s="9" t="n">
        <v>90010000</v>
      </c>
      <c r="K161" s="9" t="n">
        <v>109846893</v>
      </c>
      <c r="L161" s="8" t="n">
        <f aca="false">IFERROR(K161/J161,0)</f>
        <v>1.22038543495167</v>
      </c>
      <c r="M161" s="8" t="n">
        <f aca="false">IFERROR(J161/H161-1,0)</f>
        <v>0.0884219558832509</v>
      </c>
      <c r="N161" s="9" t="n">
        <f aca="false">K161-J161</f>
        <v>19836893</v>
      </c>
      <c r="O161" s="9" t="n">
        <f aca="false">MAX(N161,0)</f>
        <v>19836893</v>
      </c>
      <c r="P161" s="9" t="n">
        <f aca="false">MIN(N161,0)</f>
        <v>0</v>
      </c>
      <c r="Q161" s="8" t="n">
        <f aca="false">ROUND(L161,2)</f>
        <v>1.22</v>
      </c>
    </row>
    <row r="162" customFormat="false" ht="15" hidden="false" customHeight="false" outlineLevel="0" collapsed="false">
      <c r="A162" s="5" t="n">
        <v>158</v>
      </c>
      <c r="B162" s="6" t="s">
        <v>176</v>
      </c>
      <c r="C162" s="5" t="n">
        <v>701</v>
      </c>
      <c r="D162" s="6" t="s">
        <v>190</v>
      </c>
      <c r="E162" s="5" t="s">
        <v>27</v>
      </c>
      <c r="F162" s="5" t="s">
        <v>22</v>
      </c>
      <c r="G162" s="7" t="n">
        <v>41850000</v>
      </c>
      <c r="H162" s="7" t="n">
        <v>37620366</v>
      </c>
      <c r="I162" s="8" t="n">
        <f aca="false">IFERROR(H162/G162,0)</f>
        <v>0.898933476702509</v>
      </c>
      <c r="J162" s="9" t="n">
        <v>46630000</v>
      </c>
      <c r="K162" s="9" t="n">
        <v>57485302</v>
      </c>
      <c r="L162" s="8" t="n">
        <f aca="false">IFERROR(K162/J162,0)</f>
        <v>1.23279652584173</v>
      </c>
      <c r="M162" s="8" t="n">
        <f aca="false">IFERROR(J162/H162-1,0)</f>
        <v>0.239488206999368</v>
      </c>
      <c r="N162" s="9" t="n">
        <f aca="false">K162-J162</f>
        <v>10855302</v>
      </c>
      <c r="O162" s="9" t="n">
        <f aca="false">MAX(N162,0)</f>
        <v>10855302</v>
      </c>
      <c r="P162" s="9" t="n">
        <f aca="false">MIN(N162,0)</f>
        <v>0</v>
      </c>
      <c r="Q162" s="8" t="n">
        <f aca="false">ROUND(L162,2)</f>
        <v>1.23</v>
      </c>
    </row>
    <row r="163" customFormat="false" ht="15" hidden="false" customHeight="false" outlineLevel="0" collapsed="false">
      <c r="A163" s="5" t="n">
        <v>159</v>
      </c>
      <c r="B163" s="6" t="s">
        <v>176</v>
      </c>
      <c r="C163" s="5" t="n">
        <v>702</v>
      </c>
      <c r="D163" s="6" t="s">
        <v>191</v>
      </c>
      <c r="E163" s="5" t="s">
        <v>96</v>
      </c>
      <c r="F163" s="5" t="s">
        <v>96</v>
      </c>
      <c r="G163" s="7" t="n">
        <v>37680000</v>
      </c>
      <c r="H163" s="7" t="n">
        <v>94246442</v>
      </c>
      <c r="I163" s="8" t="n">
        <f aca="false">IFERROR(H163/G163,0)</f>
        <v>2.50123253715499</v>
      </c>
      <c r="J163" s="9" t="n">
        <v>68390000</v>
      </c>
      <c r="K163" s="9" t="n">
        <v>146683171</v>
      </c>
      <c r="L163" s="8" t="n">
        <f aca="false">IFERROR(K163/J163,0)</f>
        <v>2.14480437198421</v>
      </c>
      <c r="M163" s="8" t="n">
        <f aca="false">IFERROR(J163/H163-1,0)</f>
        <v>-0.27434926402845</v>
      </c>
      <c r="N163" s="9" t="n">
        <f aca="false">K163-J163</f>
        <v>78293171</v>
      </c>
      <c r="O163" s="9" t="n">
        <f aca="false">MAX(N163,0)</f>
        <v>78293171</v>
      </c>
      <c r="P163" s="9" t="n">
        <f aca="false">MIN(N163,0)</f>
        <v>0</v>
      </c>
      <c r="Q163" s="8" t="n">
        <f aca="false">ROUND(L163,2)</f>
        <v>2.14</v>
      </c>
    </row>
    <row r="164" customFormat="false" ht="15" hidden="false" customHeight="false" outlineLevel="0" collapsed="false">
      <c r="A164" s="5" t="n">
        <v>160</v>
      </c>
      <c r="B164" s="6" t="s">
        <v>176</v>
      </c>
      <c r="C164" s="5" t="n">
        <v>703</v>
      </c>
      <c r="D164" s="6" t="s">
        <v>192</v>
      </c>
      <c r="E164" s="5" t="s">
        <v>24</v>
      </c>
      <c r="F164" s="5" t="s">
        <v>25</v>
      </c>
      <c r="G164" s="7" t="n">
        <v>40370000</v>
      </c>
      <c r="H164" s="7" t="n">
        <v>28276347</v>
      </c>
      <c r="I164" s="8" t="n">
        <f aca="false">IFERROR(H164/G164,0)</f>
        <v>0.70042970027248</v>
      </c>
      <c r="J164" s="9" t="n">
        <v>48810000</v>
      </c>
      <c r="K164" s="9" t="n">
        <v>31343682</v>
      </c>
      <c r="L164" s="8" t="n">
        <f aca="false">IFERROR(K164/J164,0)</f>
        <v>0.642156976029502</v>
      </c>
      <c r="M164" s="8" t="n">
        <f aca="false">IFERROR(J164/H164-1,0)</f>
        <v>0.726177713125391</v>
      </c>
      <c r="N164" s="9" t="n">
        <f aca="false">K164-J164</f>
        <v>-17466318</v>
      </c>
      <c r="O164" s="9" t="n">
        <f aca="false">MAX(N164,0)</f>
        <v>0</v>
      </c>
      <c r="P164" s="9" t="n">
        <f aca="false">MIN(N164,0)</f>
        <v>-17466318</v>
      </c>
      <c r="Q164" s="8" t="n">
        <f aca="false">ROUND(L164,2)</f>
        <v>0.64</v>
      </c>
    </row>
    <row r="165" customFormat="false" ht="15" hidden="false" customHeight="false" outlineLevel="0" collapsed="false">
      <c r="A165" s="5" t="n">
        <v>161</v>
      </c>
      <c r="B165" s="6" t="s">
        <v>176</v>
      </c>
      <c r="C165" s="5" t="n">
        <v>704</v>
      </c>
      <c r="D165" s="6" t="s">
        <v>193</v>
      </c>
      <c r="E165" s="5" t="s">
        <v>22</v>
      </c>
      <c r="F165" s="5" t="s">
        <v>21</v>
      </c>
      <c r="G165" s="7" t="n">
        <v>36550000</v>
      </c>
      <c r="H165" s="7" t="n">
        <v>48580510</v>
      </c>
      <c r="I165" s="8" t="n">
        <f aca="false">IFERROR(H165/G165,0)</f>
        <v>1.32915212038304</v>
      </c>
      <c r="J165" s="9" t="n">
        <v>46050000</v>
      </c>
      <c r="K165" s="9" t="n">
        <v>51467046</v>
      </c>
      <c r="L165" s="8" t="n">
        <f aca="false">IFERROR(K165/J165,0)</f>
        <v>1.11763400651466</v>
      </c>
      <c r="M165" s="8" t="n">
        <f aca="false">IFERROR(J165/H165-1,0)</f>
        <v>-0.0520889961838605</v>
      </c>
      <c r="N165" s="9" t="n">
        <f aca="false">K165-J165</f>
        <v>5417046</v>
      </c>
      <c r="O165" s="9" t="n">
        <f aca="false">MAX(N165,0)</f>
        <v>5417046</v>
      </c>
      <c r="P165" s="9" t="n">
        <f aca="false">MIN(N165,0)</f>
        <v>0</v>
      </c>
      <c r="Q165" s="8" t="n">
        <f aca="false">ROUND(L165,2)</f>
        <v>1.12</v>
      </c>
    </row>
    <row r="166" customFormat="false" ht="15" hidden="false" customHeight="false" outlineLevel="0" collapsed="false">
      <c r="A166" s="5" t="n">
        <v>162</v>
      </c>
      <c r="B166" s="6" t="s">
        <v>176</v>
      </c>
      <c r="C166" s="5" t="n">
        <v>705</v>
      </c>
      <c r="D166" s="6" t="s">
        <v>194</v>
      </c>
      <c r="E166" s="5" t="s">
        <v>27</v>
      </c>
      <c r="F166" s="5" t="s">
        <v>21</v>
      </c>
      <c r="G166" s="7" t="n">
        <v>36340000</v>
      </c>
      <c r="H166" s="7" t="n">
        <v>33412710</v>
      </c>
      <c r="I166" s="8" t="n">
        <f aca="false">IFERROR(H166/G166,0)</f>
        <v>0.919447165657678</v>
      </c>
      <c r="J166" s="9" t="n">
        <v>40520000</v>
      </c>
      <c r="K166" s="9" t="n">
        <v>42513645</v>
      </c>
      <c r="L166" s="8" t="n">
        <f aca="false">IFERROR(K166/J166,0)</f>
        <v>1.04920150542942</v>
      </c>
      <c r="M166" s="8" t="n">
        <f aca="false">IFERROR(J166/H166-1,0)</f>
        <v>0.21271216851312</v>
      </c>
      <c r="N166" s="9" t="n">
        <f aca="false">K166-J166</f>
        <v>1993645</v>
      </c>
      <c r="O166" s="9" t="n">
        <f aca="false">MAX(N166,0)</f>
        <v>1993645</v>
      </c>
      <c r="P166" s="9" t="n">
        <f aca="false">MIN(N166,0)</f>
        <v>0</v>
      </c>
      <c r="Q166" s="8" t="n">
        <f aca="false">ROUND(L166,2)</f>
        <v>1.05</v>
      </c>
    </row>
    <row r="167" customFormat="false" ht="15" hidden="false" customHeight="false" outlineLevel="0" collapsed="false">
      <c r="A167" s="5" t="n">
        <v>163</v>
      </c>
      <c r="B167" s="6" t="s">
        <v>176</v>
      </c>
      <c r="C167" s="5" t="n">
        <v>706</v>
      </c>
      <c r="D167" s="6" t="s">
        <v>195</v>
      </c>
      <c r="E167" s="5" t="s">
        <v>30</v>
      </c>
      <c r="F167" s="5" t="s">
        <v>28</v>
      </c>
      <c r="G167" s="7" t="n">
        <v>54760000</v>
      </c>
      <c r="H167" s="7" t="n">
        <v>45193447</v>
      </c>
      <c r="I167" s="8" t="n">
        <f aca="false">IFERROR(H167/G167,0)</f>
        <v>0.82530034696859</v>
      </c>
      <c r="J167" s="9" t="n">
        <v>63540000</v>
      </c>
      <c r="K167" s="9" t="n">
        <v>50941852</v>
      </c>
      <c r="L167" s="8" t="n">
        <f aca="false">IFERROR(K167/J167,0)</f>
        <v>0.801728863707901</v>
      </c>
      <c r="M167" s="8" t="n">
        <f aca="false">IFERROR(J167/H167-1,0)</f>
        <v>0.40595604491067</v>
      </c>
      <c r="N167" s="9" t="n">
        <f aca="false">K167-J167</f>
        <v>-12598148</v>
      </c>
      <c r="O167" s="9" t="n">
        <f aca="false">MAX(N167,0)</f>
        <v>0</v>
      </c>
      <c r="P167" s="9" t="n">
        <f aca="false">MIN(N167,0)</f>
        <v>-12598148</v>
      </c>
      <c r="Q167" s="8" t="n">
        <f aca="false">ROUND(L167,2)</f>
        <v>0.8</v>
      </c>
    </row>
    <row r="168" customFormat="false" ht="15" hidden="false" customHeight="false" outlineLevel="0" collapsed="false">
      <c r="A168" s="5" t="n">
        <v>164</v>
      </c>
      <c r="B168" s="6" t="s">
        <v>176</v>
      </c>
      <c r="C168" s="5" t="n">
        <v>707</v>
      </c>
      <c r="D168" s="6" t="s">
        <v>196</v>
      </c>
      <c r="E168" s="5" t="s">
        <v>38</v>
      </c>
      <c r="F168" s="5" t="s">
        <v>28</v>
      </c>
      <c r="G168" s="7" t="n">
        <v>29690000</v>
      </c>
      <c r="H168" s="7" t="n">
        <v>44981817</v>
      </c>
      <c r="I168" s="8" t="n">
        <f aca="false">IFERROR(H168/G168,0)</f>
        <v>1.51504941057595</v>
      </c>
      <c r="J168" s="9" t="n">
        <v>37970000</v>
      </c>
      <c r="K168" s="9" t="n">
        <v>32597177</v>
      </c>
      <c r="L168" s="8" t="n">
        <f aca="false">IFERROR(K168/J168,0)</f>
        <v>0.858498209112457</v>
      </c>
      <c r="M168" s="8" t="n">
        <f aca="false">IFERROR(J168/H168-1,0)</f>
        <v>-0.155881141928971</v>
      </c>
      <c r="N168" s="9" t="n">
        <f aca="false">K168-J168</f>
        <v>-5372823</v>
      </c>
      <c r="O168" s="9" t="n">
        <f aca="false">MAX(N168,0)</f>
        <v>0</v>
      </c>
      <c r="P168" s="9" t="n">
        <f aca="false">MIN(N168,0)</f>
        <v>-5372823</v>
      </c>
      <c r="Q168" s="8" t="n">
        <f aca="false">ROUND(L168,2)</f>
        <v>0.86</v>
      </c>
    </row>
    <row r="169" customFormat="false" ht="15" hidden="false" customHeight="false" outlineLevel="0" collapsed="false">
      <c r="A169" s="5" t="n">
        <v>165</v>
      </c>
      <c r="B169" s="6" t="s">
        <v>176</v>
      </c>
      <c r="C169" s="5" t="n">
        <v>708</v>
      </c>
      <c r="D169" s="6" t="s">
        <v>197</v>
      </c>
      <c r="E169" s="5" t="s">
        <v>30</v>
      </c>
      <c r="F169" s="5" t="s">
        <v>25</v>
      </c>
      <c r="G169" s="7" t="n">
        <v>45920000</v>
      </c>
      <c r="H169" s="7" t="n">
        <v>35774324</v>
      </c>
      <c r="I169" s="8" t="n">
        <f aca="false">IFERROR(H169/G169,0)</f>
        <v>0.779057578397213</v>
      </c>
      <c r="J169" s="9" t="n">
        <v>53240000</v>
      </c>
      <c r="K169" s="9" t="n">
        <v>33281232</v>
      </c>
      <c r="L169" s="8" t="n">
        <f aca="false">IFERROR(K169/J169,0)</f>
        <v>0.625117054845981</v>
      </c>
      <c r="M169" s="8" t="n">
        <f aca="false">IFERROR(J169/H169-1,0)</f>
        <v>0.488218198057355</v>
      </c>
      <c r="N169" s="9" t="n">
        <f aca="false">K169-J169</f>
        <v>-19958768</v>
      </c>
      <c r="O169" s="9" t="n">
        <f aca="false">MAX(N169,0)</f>
        <v>0</v>
      </c>
      <c r="P169" s="9" t="n">
        <f aca="false">MIN(N169,0)</f>
        <v>-19958768</v>
      </c>
      <c r="Q169" s="8" t="n">
        <f aca="false">ROUND(L169,2)</f>
        <v>0.63</v>
      </c>
    </row>
    <row r="170" customFormat="false" ht="15" hidden="false" customHeight="false" outlineLevel="0" collapsed="false">
      <c r="A170" s="5" t="n">
        <v>166</v>
      </c>
      <c r="B170" s="6" t="s">
        <v>176</v>
      </c>
      <c r="C170" s="5" t="n">
        <v>709</v>
      </c>
      <c r="D170" s="6" t="s">
        <v>198</v>
      </c>
      <c r="E170" s="5" t="s">
        <v>38</v>
      </c>
      <c r="F170" s="5" t="s">
        <v>21</v>
      </c>
      <c r="G170" s="7" t="n">
        <v>46490000</v>
      </c>
      <c r="H170" s="7" t="n">
        <v>70591332</v>
      </c>
      <c r="I170" s="8" t="n">
        <f aca="false">IFERROR(H170/G170,0)</f>
        <v>1.51841970316197</v>
      </c>
      <c r="J170" s="9" t="n">
        <v>59170000</v>
      </c>
      <c r="K170" s="9" t="n">
        <v>69568535</v>
      </c>
      <c r="L170" s="8" t="n">
        <f aca="false">IFERROR(K170/J170,0)</f>
        <v>1.17573998647964</v>
      </c>
      <c r="M170" s="8" t="n">
        <f aca="false">IFERROR(J170/H170-1,0)</f>
        <v>-0.16179510538206</v>
      </c>
      <c r="N170" s="9" t="n">
        <f aca="false">K170-J170</f>
        <v>10398535</v>
      </c>
      <c r="O170" s="9" t="n">
        <f aca="false">MAX(N170,0)</f>
        <v>10398535</v>
      </c>
      <c r="P170" s="9" t="n">
        <f aca="false">MIN(N170,0)</f>
        <v>0</v>
      </c>
      <c r="Q170" s="8" t="n">
        <f aca="false">ROUND(L170,2)</f>
        <v>1.18</v>
      </c>
    </row>
    <row r="171" customFormat="false" ht="15" hidden="false" customHeight="false" outlineLevel="0" collapsed="false">
      <c r="A171" s="5" t="n">
        <v>167</v>
      </c>
      <c r="B171" s="6" t="s">
        <v>176</v>
      </c>
      <c r="C171" s="5" t="n">
        <v>710</v>
      </c>
      <c r="D171" s="6" t="s">
        <v>199</v>
      </c>
      <c r="E171" s="5" t="s">
        <v>27</v>
      </c>
      <c r="F171" s="5" t="s">
        <v>22</v>
      </c>
      <c r="G171" s="7" t="n">
        <v>61420000</v>
      </c>
      <c r="H171" s="7" t="n">
        <v>55939849</v>
      </c>
      <c r="I171" s="8" t="n">
        <f aca="false">IFERROR(H171/G171,0)</f>
        <v>0.910775789645067</v>
      </c>
      <c r="J171" s="9" t="n">
        <v>68300000</v>
      </c>
      <c r="K171" s="9" t="n">
        <v>92895749</v>
      </c>
      <c r="L171" s="8" t="n">
        <f aca="false">IFERROR(K171/J171,0)</f>
        <v>1.36011345534407</v>
      </c>
      <c r="M171" s="8" t="n">
        <f aca="false">IFERROR(J171/H171-1,0)</f>
        <v>0.22095431469613</v>
      </c>
      <c r="N171" s="9" t="n">
        <f aca="false">K171-J171</f>
        <v>24595749</v>
      </c>
      <c r="O171" s="9" t="n">
        <f aca="false">MAX(N171,0)</f>
        <v>24595749</v>
      </c>
      <c r="P171" s="9" t="n">
        <f aca="false">MIN(N171,0)</f>
        <v>0</v>
      </c>
      <c r="Q171" s="8" t="n">
        <f aca="false">ROUND(L171,2)</f>
        <v>1.36</v>
      </c>
    </row>
    <row r="172" customFormat="false" ht="15" hidden="false" customHeight="false" outlineLevel="0" collapsed="false">
      <c r="A172" s="5" t="n">
        <v>168</v>
      </c>
      <c r="B172" s="6" t="s">
        <v>176</v>
      </c>
      <c r="C172" s="5" t="n">
        <v>711</v>
      </c>
      <c r="D172" s="6" t="s">
        <v>200</v>
      </c>
      <c r="E172" s="5" t="s">
        <v>25</v>
      </c>
      <c r="F172" s="5" t="s">
        <v>21</v>
      </c>
      <c r="G172" s="7" t="n">
        <v>46610000</v>
      </c>
      <c r="H172" s="7" t="n">
        <v>47318417</v>
      </c>
      <c r="I172" s="8" t="n">
        <f aca="false">IFERROR(H172/G172,0)</f>
        <v>1.01519881999571</v>
      </c>
      <c r="J172" s="9" t="n">
        <v>52650000</v>
      </c>
      <c r="K172" s="9" t="n">
        <v>52915593</v>
      </c>
      <c r="L172" s="8" t="n">
        <f aca="false">IFERROR(K172/J172,0)</f>
        <v>1.0050445014245</v>
      </c>
      <c r="M172" s="8" t="n">
        <f aca="false">IFERROR(J172/H172-1,0)</f>
        <v>0.112674585035252</v>
      </c>
      <c r="N172" s="9" t="n">
        <f aca="false">K172-J172</f>
        <v>265593</v>
      </c>
      <c r="O172" s="9" t="n">
        <f aca="false">MAX(N172,0)</f>
        <v>265593</v>
      </c>
      <c r="P172" s="9" t="n">
        <f aca="false">MIN(N172,0)</f>
        <v>0</v>
      </c>
      <c r="Q172" s="8" t="n">
        <f aca="false">ROUND(L172,2)</f>
        <v>1.01</v>
      </c>
    </row>
    <row r="173" customFormat="false" ht="15" hidden="false" customHeight="false" outlineLevel="0" collapsed="false">
      <c r="A173" s="5" t="n">
        <v>169</v>
      </c>
      <c r="B173" s="6" t="s">
        <v>176</v>
      </c>
      <c r="C173" s="5" t="n">
        <v>712</v>
      </c>
      <c r="D173" s="6" t="s">
        <v>201</v>
      </c>
      <c r="E173" s="5" t="s">
        <v>25</v>
      </c>
      <c r="F173" s="5" t="s">
        <v>28</v>
      </c>
      <c r="G173" s="7" t="n">
        <v>18770000</v>
      </c>
      <c r="H173" s="7" t="n">
        <v>19120999</v>
      </c>
      <c r="I173" s="8" t="n">
        <f aca="false">IFERROR(H173/G173,0)</f>
        <v>1.0187</v>
      </c>
      <c r="J173" s="9" t="n">
        <v>22360000</v>
      </c>
      <c r="K173" s="9" t="n">
        <v>19857528</v>
      </c>
      <c r="L173" s="8" t="n">
        <f aca="false">IFERROR(K173/J173,0)</f>
        <v>0.888082647584973</v>
      </c>
      <c r="M173" s="8" t="n">
        <f aca="false">IFERROR(J173/H173-1,0)</f>
        <v>0.169394967281783</v>
      </c>
      <c r="N173" s="9" t="n">
        <f aca="false">K173-J173</f>
        <v>-2502472</v>
      </c>
      <c r="O173" s="9" t="n">
        <f aca="false">MAX(N173,0)</f>
        <v>0</v>
      </c>
      <c r="P173" s="9" t="n">
        <f aca="false">MIN(N173,0)</f>
        <v>-2502472</v>
      </c>
      <c r="Q173" s="8" t="n">
        <f aca="false">ROUND(L173,2)</f>
        <v>0.89</v>
      </c>
    </row>
    <row r="174" customFormat="false" ht="15" hidden="false" customHeight="false" outlineLevel="0" collapsed="false">
      <c r="A174" s="5" t="n">
        <v>170</v>
      </c>
      <c r="B174" s="6" t="s">
        <v>176</v>
      </c>
      <c r="C174" s="5" t="n">
        <v>719</v>
      </c>
      <c r="D174" s="6" t="s">
        <v>202</v>
      </c>
      <c r="E174" s="5" t="s">
        <v>28</v>
      </c>
      <c r="F174" s="5" t="s">
        <v>21</v>
      </c>
      <c r="G174" s="7" t="n">
        <v>62760000</v>
      </c>
      <c r="H174" s="7" t="n">
        <v>70369386</v>
      </c>
      <c r="I174" s="8" t="n">
        <f aca="false">IFERROR(H174/G174,0)</f>
        <v>1.12124579349904</v>
      </c>
      <c r="J174" s="9" t="n">
        <v>76510000</v>
      </c>
      <c r="K174" s="9" t="n">
        <v>83251115</v>
      </c>
      <c r="L174" s="8" t="n">
        <f aca="false">IFERROR(K174/J174,0)</f>
        <v>1.08810763298915</v>
      </c>
      <c r="M174" s="8" t="n">
        <f aca="false">IFERROR(J174/H174-1,0)</f>
        <v>0.0872625775077816</v>
      </c>
      <c r="N174" s="9" t="n">
        <f aca="false">K174-J174</f>
        <v>6741115</v>
      </c>
      <c r="O174" s="9" t="n">
        <f aca="false">MAX(N174,0)</f>
        <v>6741115</v>
      </c>
      <c r="P174" s="9" t="n">
        <f aca="false">MIN(N174,0)</f>
        <v>0</v>
      </c>
      <c r="Q174" s="8" t="n">
        <f aca="false">ROUND(L174,2)</f>
        <v>1.09</v>
      </c>
    </row>
    <row r="175" customFormat="false" ht="15" hidden="false" customHeight="false" outlineLevel="0" collapsed="false">
      <c r="A175" s="5" t="n">
        <v>171</v>
      </c>
      <c r="B175" s="6" t="s">
        <v>176</v>
      </c>
      <c r="C175" s="5" t="n">
        <v>720</v>
      </c>
      <c r="D175" s="6" t="s">
        <v>203</v>
      </c>
      <c r="E175" s="5" t="s">
        <v>28</v>
      </c>
      <c r="F175" s="5" t="s">
        <v>21</v>
      </c>
      <c r="G175" s="7" t="n">
        <v>53530000</v>
      </c>
      <c r="H175" s="7" t="n">
        <v>61490091</v>
      </c>
      <c r="I175" s="8" t="n">
        <f aca="false">IFERROR(H175/G175,0)</f>
        <v>1.14870336260041</v>
      </c>
      <c r="J175" s="9" t="n">
        <v>65890000</v>
      </c>
      <c r="K175" s="9" t="n">
        <v>69404412</v>
      </c>
      <c r="L175" s="8" t="n">
        <f aca="false">IFERROR(K175/J175,0)</f>
        <v>1.05333756260434</v>
      </c>
      <c r="M175" s="8" t="n">
        <f aca="false">IFERROR(J175/H175-1,0)</f>
        <v>0.0715547648156838</v>
      </c>
      <c r="N175" s="9" t="n">
        <f aca="false">K175-J175</f>
        <v>3514412</v>
      </c>
      <c r="O175" s="9" t="n">
        <f aca="false">MAX(N175,0)</f>
        <v>3514412</v>
      </c>
      <c r="P175" s="9" t="n">
        <f aca="false">MIN(N175,0)</f>
        <v>0</v>
      </c>
      <c r="Q175" s="8" t="n">
        <f aca="false">ROUND(L175,2)</f>
        <v>1.05</v>
      </c>
    </row>
    <row r="176" customFormat="false" ht="15" hidden="false" customHeight="false" outlineLevel="0" collapsed="false">
      <c r="A176" s="5" t="n">
        <v>172</v>
      </c>
      <c r="B176" s="6" t="s">
        <v>176</v>
      </c>
      <c r="C176" s="5" t="n">
        <v>721</v>
      </c>
      <c r="D176" s="6" t="s">
        <v>204</v>
      </c>
      <c r="E176" s="5" t="s">
        <v>28</v>
      </c>
      <c r="F176" s="5" t="s">
        <v>28</v>
      </c>
      <c r="G176" s="7" t="n">
        <v>45030000</v>
      </c>
      <c r="H176" s="7" t="n">
        <v>50238262</v>
      </c>
      <c r="I176" s="8" t="n">
        <f aca="false">IFERROR(H176/G176,0)</f>
        <v>1.11566204752387</v>
      </c>
      <c r="J176" s="9" t="n">
        <v>54870000</v>
      </c>
      <c r="K176" s="9" t="n">
        <v>43329357</v>
      </c>
      <c r="L176" s="8" t="n">
        <f aca="false">IFERROR(K176/J176,0)</f>
        <v>0.789672990705303</v>
      </c>
      <c r="M176" s="8" t="n">
        <f aca="false">IFERROR(J176/H176-1,0)</f>
        <v>0.0921954266650387</v>
      </c>
      <c r="N176" s="9" t="n">
        <f aca="false">K176-J176</f>
        <v>-11540643</v>
      </c>
      <c r="O176" s="9" t="n">
        <f aca="false">MAX(N176,0)</f>
        <v>0</v>
      </c>
      <c r="P176" s="9" t="n">
        <f aca="false">MIN(N176,0)</f>
        <v>-11540643</v>
      </c>
      <c r="Q176" s="8" t="n">
        <f aca="false">ROUND(L176,2)</f>
        <v>0.79</v>
      </c>
    </row>
    <row r="177" customFormat="false" ht="15" hidden="false" customHeight="false" outlineLevel="0" collapsed="false">
      <c r="A177" s="5" t="n">
        <v>173</v>
      </c>
      <c r="B177" s="6" t="s">
        <v>176</v>
      </c>
      <c r="C177" s="5" t="n">
        <v>722</v>
      </c>
      <c r="D177" s="6" t="s">
        <v>205</v>
      </c>
      <c r="E177" s="5" t="s">
        <v>30</v>
      </c>
      <c r="F177" s="5" t="s">
        <v>28</v>
      </c>
      <c r="G177" s="7" t="n">
        <v>28640000</v>
      </c>
      <c r="H177" s="7" t="n">
        <v>24082292</v>
      </c>
      <c r="I177" s="8" t="n">
        <f aca="false">IFERROR(H177/G177,0)</f>
        <v>0.840862150837989</v>
      </c>
      <c r="J177" s="9" t="n">
        <v>33480000</v>
      </c>
      <c r="K177" s="9" t="n">
        <v>32593644</v>
      </c>
      <c r="L177" s="8" t="n">
        <f aca="false">IFERROR(K177/J177,0)</f>
        <v>0.973525806451613</v>
      </c>
      <c r="M177" s="8" t="n">
        <f aca="false">IFERROR(J177/H177-1,0)</f>
        <v>0.390233122329054</v>
      </c>
      <c r="N177" s="9" t="n">
        <f aca="false">K177-J177</f>
        <v>-886356</v>
      </c>
      <c r="O177" s="9" t="n">
        <f aca="false">MAX(N177,0)</f>
        <v>0</v>
      </c>
      <c r="P177" s="9" t="n">
        <f aca="false">MIN(N177,0)</f>
        <v>-886356</v>
      </c>
      <c r="Q177" s="8" t="n">
        <f aca="false">ROUND(L177,2)</f>
        <v>0.97</v>
      </c>
    </row>
    <row r="178" customFormat="false" ht="15" hidden="false" customHeight="false" outlineLevel="0" collapsed="false">
      <c r="A178" s="5" t="n">
        <v>174</v>
      </c>
      <c r="B178" s="6" t="s">
        <v>176</v>
      </c>
      <c r="C178" s="5" t="n">
        <v>751</v>
      </c>
      <c r="D178" s="6" t="s">
        <v>206</v>
      </c>
      <c r="E178" s="5" t="s">
        <v>30</v>
      </c>
      <c r="F178" s="5" t="s">
        <v>28</v>
      </c>
      <c r="G178" s="7" t="n">
        <v>37040000</v>
      </c>
      <c r="H178" s="7" t="n">
        <v>31741526</v>
      </c>
      <c r="I178" s="8" t="n">
        <f aca="false">IFERROR(H178/G178,0)</f>
        <v>0.856952645788337</v>
      </c>
      <c r="J178" s="9" t="n">
        <v>43230000</v>
      </c>
      <c r="K178" s="9" t="n">
        <v>39118611</v>
      </c>
      <c r="L178" s="8" t="n">
        <f aca="false">IFERROR(K178/J178,0)</f>
        <v>0.904895003469813</v>
      </c>
      <c r="M178" s="8" t="n">
        <f aca="false">IFERROR(J178/H178-1,0)</f>
        <v>0.361938301265037</v>
      </c>
      <c r="N178" s="9" t="n">
        <f aca="false">K178-J178</f>
        <v>-4111389</v>
      </c>
      <c r="O178" s="9" t="n">
        <f aca="false">MAX(N178,0)</f>
        <v>0</v>
      </c>
      <c r="P178" s="9" t="n">
        <f aca="false">MIN(N178,0)</f>
        <v>-4111389</v>
      </c>
      <c r="Q178" s="8" t="n">
        <f aca="false">ROUND(L178,2)</f>
        <v>0.9</v>
      </c>
    </row>
    <row r="179" customFormat="false" ht="15" hidden="false" customHeight="false" outlineLevel="0" collapsed="false">
      <c r="A179" s="5" t="n">
        <v>175</v>
      </c>
      <c r="B179" s="6" t="s">
        <v>176</v>
      </c>
      <c r="C179" s="5" t="n">
        <v>752</v>
      </c>
      <c r="D179" s="6" t="s">
        <v>207</v>
      </c>
      <c r="E179" s="5" t="s">
        <v>28</v>
      </c>
      <c r="F179" s="5" t="s">
        <v>21</v>
      </c>
      <c r="G179" s="7" t="n">
        <v>50180000</v>
      </c>
      <c r="H179" s="7" t="n">
        <v>55582413</v>
      </c>
      <c r="I179" s="8" t="n">
        <f aca="false">IFERROR(H179/G179,0)</f>
        <v>1.10766068154643</v>
      </c>
      <c r="J179" s="9" t="n">
        <v>60470000</v>
      </c>
      <c r="K179" s="9" t="n">
        <v>68646329</v>
      </c>
      <c r="L179" s="8" t="n">
        <f aca="false">IFERROR(K179/J179,0)</f>
        <v>1.13521298164379</v>
      </c>
      <c r="M179" s="8" t="n">
        <f aca="false">IFERROR(J179/H179-1,0)</f>
        <v>0.0879340556877226</v>
      </c>
      <c r="N179" s="9" t="n">
        <f aca="false">K179-J179</f>
        <v>8176329</v>
      </c>
      <c r="O179" s="9" t="n">
        <f aca="false">MAX(N179,0)</f>
        <v>8176329</v>
      </c>
      <c r="P179" s="9" t="n">
        <f aca="false">MIN(N179,0)</f>
        <v>0</v>
      </c>
      <c r="Q179" s="8" t="n">
        <f aca="false">ROUND(L179,2)</f>
        <v>1.14</v>
      </c>
    </row>
    <row r="180" customFormat="false" ht="15" hidden="false" customHeight="false" outlineLevel="0" collapsed="false">
      <c r="A180" s="5" t="n">
        <v>176</v>
      </c>
      <c r="B180" s="6" t="s">
        <v>176</v>
      </c>
      <c r="C180" s="5" t="n">
        <v>753</v>
      </c>
      <c r="D180" s="6" t="s">
        <v>208</v>
      </c>
      <c r="E180" s="5" t="s">
        <v>27</v>
      </c>
      <c r="F180" s="5" t="s">
        <v>22</v>
      </c>
      <c r="G180" s="7" t="n">
        <v>38270000</v>
      </c>
      <c r="H180" s="7" t="n">
        <v>37944440</v>
      </c>
      <c r="I180" s="8" t="n">
        <f aca="false">IFERROR(H180/G180,0)</f>
        <v>0.99149307551607</v>
      </c>
      <c r="J180" s="9" t="n">
        <v>42620000</v>
      </c>
      <c r="K180" s="9" t="n">
        <v>62337850</v>
      </c>
      <c r="L180" s="8" t="n">
        <f aca="false">IFERROR(K180/J180,0)</f>
        <v>1.46264312529329</v>
      </c>
      <c r="M180" s="8" t="n">
        <f aca="false">IFERROR(J180/H180-1,0)</f>
        <v>0.12322121501859</v>
      </c>
      <c r="N180" s="9" t="n">
        <f aca="false">K180-J180</f>
        <v>19717850</v>
      </c>
      <c r="O180" s="9" t="n">
        <f aca="false">MAX(N180,0)</f>
        <v>19717850</v>
      </c>
      <c r="P180" s="9" t="n">
        <f aca="false">MIN(N180,0)</f>
        <v>0</v>
      </c>
      <c r="Q180" s="8" t="n">
        <f aca="false">ROUND(L180,2)</f>
        <v>1.46</v>
      </c>
    </row>
    <row r="181" customFormat="false" ht="15" hidden="false" customHeight="false" outlineLevel="0" collapsed="false">
      <c r="A181" s="5" t="n">
        <v>177</v>
      </c>
      <c r="B181" s="6" t="s">
        <v>176</v>
      </c>
      <c r="C181" s="5" t="n">
        <v>760</v>
      </c>
      <c r="D181" s="6" t="s">
        <v>209</v>
      </c>
      <c r="E181" s="5" t="s">
        <v>24</v>
      </c>
      <c r="F181" s="5" t="s">
        <v>28</v>
      </c>
      <c r="G181" s="7" t="n">
        <v>40960000</v>
      </c>
      <c r="H181" s="7" t="n">
        <v>30240984</v>
      </c>
      <c r="I181" s="8" t="n">
        <f aca="false">IFERROR(H181/G181,0)</f>
        <v>0.7383052734375</v>
      </c>
      <c r="J181" s="9" t="n">
        <v>88420000</v>
      </c>
      <c r="K181" s="9" t="n">
        <v>73417344</v>
      </c>
      <c r="L181" s="8" t="n">
        <f aca="false">IFERROR(K181/J181,0)</f>
        <v>0.830325084822438</v>
      </c>
      <c r="M181" s="8" t="n">
        <f aca="false">IFERROR(J181/H181-1,0)</f>
        <v>1.92384665789976</v>
      </c>
      <c r="N181" s="9" t="n">
        <f aca="false">K181-J181</f>
        <v>-15002656</v>
      </c>
      <c r="O181" s="9" t="n">
        <f aca="false">MAX(N181,0)</f>
        <v>0</v>
      </c>
      <c r="P181" s="9" t="n">
        <f aca="false">MIN(N181,0)</f>
        <v>-15002656</v>
      </c>
      <c r="Q181" s="8" t="n">
        <f aca="false">ROUND(L181,2)</f>
        <v>0.83</v>
      </c>
    </row>
    <row r="182" customFormat="false" ht="15" hidden="false" customHeight="false" outlineLevel="0" collapsed="false">
      <c r="A182" s="5" t="n">
        <v>178</v>
      </c>
      <c r="B182" s="6" t="s">
        <v>176</v>
      </c>
      <c r="C182" s="5" t="n">
        <v>800</v>
      </c>
      <c r="D182" s="6" t="s">
        <v>210</v>
      </c>
      <c r="E182" s="5" t="s">
        <v>27</v>
      </c>
      <c r="F182" s="5" t="s">
        <v>21</v>
      </c>
      <c r="G182" s="7" t="n">
        <v>55450000</v>
      </c>
      <c r="H182" s="7" t="n">
        <v>51330584</v>
      </c>
      <c r="I182" s="8" t="n">
        <f aca="false">IFERROR(H182/G182,0)</f>
        <v>0.925709359783589</v>
      </c>
      <c r="J182" s="9" t="n">
        <v>61600000</v>
      </c>
      <c r="K182" s="9" t="n">
        <v>68532195</v>
      </c>
      <c r="L182" s="8" t="n">
        <f aca="false">IFERROR(K182/J182,0)</f>
        <v>1.11253563311688</v>
      </c>
      <c r="M182" s="8" t="n">
        <f aca="false">IFERROR(J182/H182-1,0)</f>
        <v>0.200064273572262</v>
      </c>
      <c r="N182" s="9" t="n">
        <f aca="false">K182-J182</f>
        <v>6932195</v>
      </c>
      <c r="O182" s="9" t="n">
        <f aca="false">MAX(N182,0)</f>
        <v>6932195</v>
      </c>
      <c r="P182" s="9" t="n">
        <f aca="false">MIN(N182,0)</f>
        <v>0</v>
      </c>
      <c r="Q182" s="8" t="n">
        <f aca="false">ROUND(L182,2)</f>
        <v>1.11</v>
      </c>
    </row>
    <row r="183" customFormat="false" ht="15" hidden="false" customHeight="false" outlineLevel="0" collapsed="false">
      <c r="A183" s="5" t="n">
        <v>179</v>
      </c>
      <c r="B183" s="6" t="s">
        <v>176</v>
      </c>
      <c r="C183" s="5" t="n">
        <v>801</v>
      </c>
      <c r="D183" s="6" t="s">
        <v>211</v>
      </c>
      <c r="E183" s="5" t="s">
        <v>28</v>
      </c>
      <c r="F183" s="5" t="s">
        <v>21</v>
      </c>
      <c r="G183" s="7" t="n">
        <v>73230000</v>
      </c>
      <c r="H183" s="7" t="n">
        <v>83276808</v>
      </c>
      <c r="I183" s="8" t="n">
        <f aca="false">IFERROR(H183/G183,0)</f>
        <v>1.13719524784924</v>
      </c>
      <c r="J183" s="9" t="n">
        <v>90250000</v>
      </c>
      <c r="K183" s="9" t="n">
        <v>104230093</v>
      </c>
      <c r="L183" s="8" t="n">
        <f aca="false">IFERROR(K183/J183,0)</f>
        <v>1.15490407756233</v>
      </c>
      <c r="M183" s="8" t="n">
        <f aca="false">IFERROR(J183/H183-1,0)</f>
        <v>0.0837351018545283</v>
      </c>
      <c r="N183" s="9" t="n">
        <f aca="false">K183-J183</f>
        <v>13980093</v>
      </c>
      <c r="O183" s="9" t="n">
        <f aca="false">MAX(N183,0)</f>
        <v>13980093</v>
      </c>
      <c r="P183" s="9" t="n">
        <f aca="false">MIN(N183,0)</f>
        <v>0</v>
      </c>
      <c r="Q183" s="8" t="n">
        <f aca="false">ROUND(L183,2)</f>
        <v>1.15</v>
      </c>
    </row>
    <row r="184" customFormat="false" ht="15" hidden="false" customHeight="false" outlineLevel="0" collapsed="false">
      <c r="A184" s="5" t="n">
        <v>180</v>
      </c>
      <c r="B184" s="6" t="s">
        <v>176</v>
      </c>
      <c r="C184" s="5" t="n">
        <v>802</v>
      </c>
      <c r="D184" s="6" t="s">
        <v>212</v>
      </c>
      <c r="E184" s="5" t="s">
        <v>27</v>
      </c>
      <c r="F184" s="5" t="s">
        <v>28</v>
      </c>
      <c r="G184" s="7" t="n">
        <v>50050000</v>
      </c>
      <c r="H184" s="7" t="n">
        <v>48419690</v>
      </c>
      <c r="I184" s="8" t="n">
        <f aca="false">IFERROR(H184/G184,0)</f>
        <v>0.967426373626374</v>
      </c>
      <c r="J184" s="9" t="n">
        <v>96520000</v>
      </c>
      <c r="K184" s="9" t="n">
        <v>75058617</v>
      </c>
      <c r="L184" s="8" t="n">
        <f aca="false">IFERROR(K184/J184,0)</f>
        <v>0.777648331951927</v>
      </c>
      <c r="M184" s="8" t="n">
        <f aca="false">IFERROR(J184/H184-1,0)</f>
        <v>0.993403923073444</v>
      </c>
      <c r="N184" s="9" t="n">
        <f aca="false">K184-J184</f>
        <v>-21461383</v>
      </c>
      <c r="O184" s="9" t="n">
        <f aca="false">MAX(N184,0)</f>
        <v>0</v>
      </c>
      <c r="P184" s="9" t="n">
        <f aca="false">MIN(N184,0)</f>
        <v>-21461383</v>
      </c>
      <c r="Q184" s="8" t="n">
        <f aca="false">ROUND(L184,2)</f>
        <v>0.78</v>
      </c>
    </row>
    <row r="185" customFormat="false" ht="15" hidden="false" customHeight="false" outlineLevel="0" collapsed="false">
      <c r="A185" s="5" t="n">
        <v>181</v>
      </c>
      <c r="B185" s="6" t="s">
        <v>60</v>
      </c>
      <c r="C185" s="5" t="n">
        <v>820</v>
      </c>
      <c r="D185" s="6" t="s">
        <v>213</v>
      </c>
      <c r="E185" s="5" t="s">
        <v>28</v>
      </c>
      <c r="F185" s="5" t="s">
        <v>22</v>
      </c>
      <c r="G185" s="7" t="n">
        <v>46950000</v>
      </c>
      <c r="H185" s="7" t="n">
        <v>54716806</v>
      </c>
      <c r="I185" s="8" t="n">
        <f aca="false">IFERROR(H185/G185,0)</f>
        <v>1.16542717784878</v>
      </c>
      <c r="J185" s="9" t="n">
        <v>57880000</v>
      </c>
      <c r="K185" s="9" t="n">
        <v>69628302</v>
      </c>
      <c r="L185" s="8" t="n">
        <f aca="false">IFERROR(K185/J185,0)</f>
        <v>1.20297688320663</v>
      </c>
      <c r="M185" s="8" t="n">
        <f aca="false">IFERROR(J185/H185-1,0)</f>
        <v>0.0578102822741518</v>
      </c>
      <c r="N185" s="9" t="n">
        <f aca="false">K185-J185</f>
        <v>11748302</v>
      </c>
      <c r="O185" s="9" t="n">
        <f aca="false">MAX(N185,0)</f>
        <v>11748302</v>
      </c>
      <c r="P185" s="9" t="n">
        <f aca="false">MIN(N185,0)</f>
        <v>0</v>
      </c>
      <c r="Q185" s="8" t="n">
        <f aca="false">ROUND(L185,2)</f>
        <v>1.2</v>
      </c>
    </row>
    <row r="186" customFormat="false" ht="15" hidden="false" customHeight="false" outlineLevel="0" collapsed="false">
      <c r="A186" s="5" t="n">
        <v>182</v>
      </c>
      <c r="B186" s="6" t="s">
        <v>176</v>
      </c>
      <c r="C186" s="5" t="n">
        <v>830</v>
      </c>
      <c r="D186" s="6" t="s">
        <v>214</v>
      </c>
      <c r="E186" s="5" t="s">
        <v>24</v>
      </c>
      <c r="F186" s="5" t="s">
        <v>25</v>
      </c>
      <c r="G186" s="7" t="n">
        <v>30920000</v>
      </c>
      <c r="H186" s="7" t="n">
        <v>21689714</v>
      </c>
      <c r="I186" s="8" t="n">
        <f aca="false">IFERROR(H186/G186,0)</f>
        <v>0.701478460543338</v>
      </c>
      <c r="J186" s="9" t="n">
        <v>38100000</v>
      </c>
      <c r="K186" s="9" t="n">
        <v>22284373</v>
      </c>
      <c r="L186" s="8" t="n">
        <f aca="false">IFERROR(K186/J186,0)</f>
        <v>0.584891679790026</v>
      </c>
      <c r="M186" s="8" t="n">
        <f aca="false">IFERROR(J186/H186-1,0)</f>
        <v>0.756593009940104</v>
      </c>
      <c r="N186" s="9" t="n">
        <f aca="false">K186-J186</f>
        <v>-15815627</v>
      </c>
      <c r="O186" s="9" t="n">
        <f aca="false">MAX(N186,0)</f>
        <v>0</v>
      </c>
      <c r="P186" s="9" t="n">
        <f aca="false">MIN(N186,0)</f>
        <v>-15815627</v>
      </c>
      <c r="Q186" s="8" t="n">
        <f aca="false">ROUND(L186,2)</f>
        <v>0.58</v>
      </c>
    </row>
    <row r="187" customFormat="false" ht="15" hidden="false" customHeight="false" outlineLevel="0" collapsed="false">
      <c r="A187" s="5" t="n">
        <v>183</v>
      </c>
      <c r="B187" s="6" t="s">
        <v>19</v>
      </c>
      <c r="C187" s="5" t="n">
        <v>888</v>
      </c>
      <c r="D187" s="6" t="s">
        <v>215</v>
      </c>
      <c r="E187" s="5" t="s">
        <v>30</v>
      </c>
      <c r="F187" s="5" t="s">
        <v>22</v>
      </c>
      <c r="G187" s="7" t="n">
        <v>14290000</v>
      </c>
      <c r="H187" s="7" t="n">
        <v>11645179</v>
      </c>
      <c r="I187" s="8" t="n">
        <f aca="false">IFERROR(H187/G187,0)</f>
        <v>0.814918054583625</v>
      </c>
      <c r="J187" s="9" t="n">
        <v>17160000</v>
      </c>
      <c r="K187" s="9" t="n">
        <v>23269991</v>
      </c>
      <c r="L187" s="8" t="n">
        <f aca="false">IFERROR(K187/J187,0)</f>
        <v>1.35606008158508</v>
      </c>
      <c r="M187" s="8" t="n">
        <f aca="false">IFERROR(J187/H187-1,0)</f>
        <v>0.473571166231107</v>
      </c>
      <c r="N187" s="9" t="n">
        <f aca="false">K187-J187</f>
        <v>6109991</v>
      </c>
      <c r="O187" s="9" t="n">
        <f aca="false">MAX(N187,0)</f>
        <v>6109991</v>
      </c>
      <c r="P187" s="9" t="n">
        <f aca="false">MIN(N187,0)</f>
        <v>0</v>
      </c>
      <c r="Q187" s="8" t="n">
        <f aca="false">ROUND(L187,2)</f>
        <v>1.36</v>
      </c>
    </row>
    <row r="188" customFormat="false" ht="15" hidden="false" customHeight="false" outlineLevel="0" collapsed="false">
      <c r="D188" s="10" t="s">
        <v>216</v>
      </c>
      <c r="G188" s="11" t="n">
        <f aca="false">SUM(G5:G187)</f>
        <v>9875540000</v>
      </c>
      <c r="H188" s="11" t="n">
        <f aca="false">SUM(H5:H187)</f>
        <v>9629592161</v>
      </c>
      <c r="I188" s="12" t="n">
        <f aca="false">H188/G188</f>
        <v>0.975095251601431</v>
      </c>
      <c r="J188" s="11" t="n">
        <f aca="false">SUM(J5:J187)</f>
        <v>11785380000</v>
      </c>
      <c r="K188" s="11" t="n">
        <f aca="false">SUM(K5:K187)</f>
        <v>12485599369</v>
      </c>
      <c r="L188" s="12" t="n">
        <f aca="false">K188/J188</f>
        <v>1.05941423772505</v>
      </c>
      <c r="M188" s="12" t="n">
        <f aca="false">J188/H188-1</f>
        <v>0.223871146665066</v>
      </c>
      <c r="N188" s="11" t="n">
        <f aca="false">SUM(N5:N187)</f>
        <v>700219369</v>
      </c>
      <c r="O188" s="11" t="n">
        <f aca="false">SUM(O5:O187)</f>
        <v>1523166642</v>
      </c>
      <c r="P188" s="11" t="n">
        <f aca="false">SUM(P5:P187)</f>
        <v>-822947273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8" min="5" style="0" width="15"/>
  </cols>
  <sheetData>
    <row r="1" customFormat="false" ht="15" hidden="false" customHeight="false" outlineLevel="0" collapsed="false">
      <c r="A1" s="13" t="s">
        <v>217</v>
      </c>
    </row>
    <row r="3" customFormat="false" ht="15" hidden="false" customHeight="false" outlineLevel="0" collapsed="false">
      <c r="A3" s="3" t="s">
        <v>218</v>
      </c>
      <c r="B3" s="3" t="s">
        <v>219</v>
      </c>
      <c r="C3" s="3" t="s">
        <v>220</v>
      </c>
      <c r="D3" s="3" t="s">
        <v>221</v>
      </c>
      <c r="E3" s="3" t="s">
        <v>222</v>
      </c>
      <c r="F3" s="3" t="s">
        <v>223</v>
      </c>
      <c r="G3" s="3" t="s">
        <v>224</v>
      </c>
    </row>
    <row r="4" customFormat="false" ht="15" hidden="false" customHeight="false" outlineLevel="0" collapsed="false">
      <c r="A4" s="14" t="s">
        <v>225</v>
      </c>
      <c r="B4" s="15" t="n">
        <v>0</v>
      </c>
      <c r="C4" s="15" t="n">
        <v>0.6</v>
      </c>
      <c r="D4" s="14" t="n">
        <f aca="false">COUNTIFS(分行明細!$Q$5:$Q$187,"&gt;="&amp;B4,分行明細!$Q$5:$Q$187,"&lt;"&amp;C4)</f>
        <v>2</v>
      </c>
      <c r="E4" s="16" t="n">
        <f aca="false">D4/$D$16</f>
        <v>0.0109289617486339</v>
      </c>
      <c r="F4" s="14" t="n">
        <f aca="false">SUM($D$4:D4)</f>
        <v>2</v>
      </c>
      <c r="G4" s="16" t="n">
        <f aca="false">F4/$D$16</f>
        <v>0.0109289617486339</v>
      </c>
    </row>
    <row r="5" customFormat="false" ht="15" hidden="false" customHeight="false" outlineLevel="0" collapsed="false">
      <c r="A5" s="17" t="s">
        <v>226</v>
      </c>
      <c r="B5" s="15" t="n">
        <v>0.6</v>
      </c>
      <c r="C5" s="15" t="n">
        <v>0.7</v>
      </c>
      <c r="D5" s="17" t="n">
        <f aca="false">COUNTIFS(分行明細!$Q$5:$Q$187,"&gt;="&amp;B5,分行明細!$Q$5:$Q$187,"&lt;"&amp;C5)</f>
        <v>7</v>
      </c>
      <c r="E5" s="16" t="n">
        <f aca="false">D5/$D$16</f>
        <v>0.0382513661202186</v>
      </c>
      <c r="F5" s="17" t="n">
        <f aca="false">SUM($D$4:D5)</f>
        <v>9</v>
      </c>
      <c r="G5" s="16" t="n">
        <f aca="false">F5/$D$16</f>
        <v>0.0491803278688525</v>
      </c>
    </row>
    <row r="6" customFormat="false" ht="15" hidden="false" customHeight="false" outlineLevel="0" collapsed="false">
      <c r="A6" s="17" t="s">
        <v>227</v>
      </c>
      <c r="B6" s="15" t="n">
        <v>0.7</v>
      </c>
      <c r="C6" s="15" t="n">
        <v>0.75</v>
      </c>
      <c r="D6" s="17" t="n">
        <f aca="false">COUNTIFS(分行明細!$Q$5:$Q$187,"&gt;="&amp;B6,分行明細!$Q$5:$Q$187,"&lt;"&amp;C6)</f>
        <v>10</v>
      </c>
      <c r="E6" s="16" t="n">
        <f aca="false">D6/$D$16</f>
        <v>0.0546448087431694</v>
      </c>
      <c r="F6" s="17" t="n">
        <f aca="false">SUM($D$4:D6)</f>
        <v>19</v>
      </c>
      <c r="G6" s="16" t="n">
        <f aca="false">F6/$D$16</f>
        <v>0.103825136612022</v>
      </c>
    </row>
    <row r="7" customFormat="false" ht="15" hidden="false" customHeight="false" outlineLevel="0" collapsed="false">
      <c r="A7" s="17" t="s">
        <v>228</v>
      </c>
      <c r="B7" s="15" t="n">
        <v>0.75</v>
      </c>
      <c r="C7" s="15" t="n">
        <v>0.8</v>
      </c>
      <c r="D7" s="17" t="n">
        <f aca="false">COUNTIFS(分行明細!$Q$5:$Q$187,"&gt;="&amp;B7,分行明細!$Q$5:$Q$187,"&lt;"&amp;C7)</f>
        <v>12</v>
      </c>
      <c r="E7" s="16" t="n">
        <f aca="false">D7/$D$16</f>
        <v>0.0655737704918033</v>
      </c>
      <c r="F7" s="17" t="n">
        <f aca="false">SUM($D$4:D7)</f>
        <v>31</v>
      </c>
      <c r="G7" s="16" t="n">
        <f aca="false">F7/$D$16</f>
        <v>0.169398907103825</v>
      </c>
    </row>
    <row r="8" customFormat="false" ht="15" hidden="false" customHeight="false" outlineLevel="0" collapsed="false">
      <c r="A8" s="17" t="s">
        <v>229</v>
      </c>
      <c r="B8" s="15" t="n">
        <v>0.8</v>
      </c>
      <c r="C8" s="15" t="n">
        <v>0.9</v>
      </c>
      <c r="D8" s="17" t="n">
        <f aca="false">COUNTIFS(分行明細!$Q$5:$Q$187,"&gt;="&amp;B8,分行明細!$Q$5:$Q$187,"&lt;"&amp;C8)</f>
        <v>24</v>
      </c>
      <c r="E8" s="16" t="n">
        <f aca="false">D8/$D$16</f>
        <v>0.131147540983607</v>
      </c>
      <c r="F8" s="17" t="n">
        <f aca="false">SUM($D$4:D8)</f>
        <v>55</v>
      </c>
      <c r="G8" s="16" t="n">
        <f aca="false">F8/$D$16</f>
        <v>0.300546448087432</v>
      </c>
    </row>
    <row r="9" customFormat="false" ht="15" hidden="false" customHeight="false" outlineLevel="0" collapsed="false">
      <c r="A9" s="17" t="s">
        <v>230</v>
      </c>
      <c r="B9" s="15" t="n">
        <v>0.9</v>
      </c>
      <c r="C9" s="15" t="n">
        <v>1</v>
      </c>
      <c r="D9" s="17" t="n">
        <f aca="false">COUNTIFS(分行明細!$Q$5:$Q$187,"&gt;="&amp;B9,分行明細!$Q$5:$Q$187,"&lt;"&amp;C9)</f>
        <v>29</v>
      </c>
      <c r="E9" s="16" t="n">
        <f aca="false">D9/$D$16</f>
        <v>0.158469945355191</v>
      </c>
      <c r="F9" s="17" t="n">
        <f aca="false">SUM($D$4:D9)</f>
        <v>84</v>
      </c>
      <c r="G9" s="16" t="n">
        <f aca="false">F9/$D$16</f>
        <v>0.459016393442623</v>
      </c>
    </row>
    <row r="10" customFormat="false" ht="15" hidden="false" customHeight="false" outlineLevel="0" collapsed="false">
      <c r="A10" s="17" t="s">
        <v>231</v>
      </c>
      <c r="B10" s="15" t="n">
        <v>1</v>
      </c>
      <c r="C10" s="15" t="n">
        <v>1.1</v>
      </c>
      <c r="D10" s="17" t="n">
        <f aca="false">COUNTIFS(分行明細!$Q$5:$Q$187,"&gt;="&amp;B10,分行明細!$Q$5:$Q$187,"&lt;"&amp;C10)</f>
        <v>25</v>
      </c>
      <c r="E10" s="16" t="n">
        <f aca="false">D10/$D$16</f>
        <v>0.136612021857924</v>
      </c>
      <c r="F10" s="17" t="n">
        <f aca="false">SUM($D$4:D10)</f>
        <v>109</v>
      </c>
      <c r="G10" s="16" t="n">
        <f aca="false">F10/$D$16</f>
        <v>0.595628415300546</v>
      </c>
    </row>
    <row r="11" customFormat="false" ht="15" hidden="false" customHeight="false" outlineLevel="0" collapsed="false">
      <c r="A11" s="17" t="s">
        <v>232</v>
      </c>
      <c r="B11" s="15" t="n">
        <v>1.1</v>
      </c>
      <c r="C11" s="15" t="n">
        <v>1.2</v>
      </c>
      <c r="D11" s="17" t="n">
        <f aca="false">COUNTIFS(分行明細!$Q$5:$Q$187,"&gt;="&amp;B11,分行明細!$Q$5:$Q$187,"&lt;"&amp;C11)</f>
        <v>27</v>
      </c>
      <c r="E11" s="16" t="n">
        <f aca="false">D11/$D$16</f>
        <v>0.147540983606557</v>
      </c>
      <c r="F11" s="17" t="n">
        <f aca="false">SUM($D$4:D11)</f>
        <v>136</v>
      </c>
      <c r="G11" s="16" t="n">
        <f aca="false">F11/$D$16</f>
        <v>0.743169398907104</v>
      </c>
    </row>
    <row r="12" customFormat="false" ht="15" hidden="false" customHeight="false" outlineLevel="0" collapsed="false">
      <c r="A12" s="17" t="s">
        <v>233</v>
      </c>
      <c r="B12" s="15" t="n">
        <v>1.2</v>
      </c>
      <c r="C12" s="15" t="n">
        <v>1.3</v>
      </c>
      <c r="D12" s="17" t="n">
        <f aca="false">COUNTIFS(分行明細!$Q$5:$Q$187,"&gt;="&amp;B12,分行明細!$Q$5:$Q$187,"&lt;"&amp;C12)</f>
        <v>17</v>
      </c>
      <c r="E12" s="16" t="n">
        <f aca="false">D12/$D$16</f>
        <v>0.092896174863388</v>
      </c>
      <c r="F12" s="17" t="n">
        <f aca="false">SUM($D$4:D12)</f>
        <v>153</v>
      </c>
      <c r="G12" s="16" t="n">
        <f aca="false">F12/$D$16</f>
        <v>0.836065573770492</v>
      </c>
    </row>
    <row r="13" customFormat="false" ht="15" hidden="false" customHeight="false" outlineLevel="0" collapsed="false">
      <c r="A13" s="17" t="s">
        <v>234</v>
      </c>
      <c r="B13" s="15" t="n">
        <v>1.3</v>
      </c>
      <c r="C13" s="15" t="n">
        <v>1.5</v>
      </c>
      <c r="D13" s="17" t="n">
        <f aca="false">COUNTIFS(分行明細!$Q$5:$Q$187,"&gt;="&amp;B13,分行明細!$Q$5:$Q$187,"&lt;"&amp;C13)</f>
        <v>23</v>
      </c>
      <c r="E13" s="16" t="n">
        <f aca="false">D13/$D$16</f>
        <v>0.12568306010929</v>
      </c>
      <c r="F13" s="17" t="n">
        <f aca="false">SUM($D$4:D13)</f>
        <v>176</v>
      </c>
      <c r="G13" s="16" t="n">
        <f aca="false">F13/$D$16</f>
        <v>0.961748633879781</v>
      </c>
    </row>
    <row r="14" customFormat="false" ht="15" hidden="false" customHeight="false" outlineLevel="0" collapsed="false">
      <c r="A14" s="17" t="s">
        <v>235</v>
      </c>
      <c r="B14" s="15" t="n">
        <v>1.5</v>
      </c>
      <c r="C14" s="15" t="n">
        <v>1.8</v>
      </c>
      <c r="D14" s="17" t="n">
        <f aca="false">COUNTIFS(分行明細!$Q$5:$Q$187,"&gt;="&amp;B14,分行明細!$Q$5:$Q$187,"&lt;"&amp;C14)</f>
        <v>4</v>
      </c>
      <c r="E14" s="16" t="n">
        <f aca="false">D14/$D$16</f>
        <v>0.0218579234972678</v>
      </c>
      <c r="F14" s="17" t="n">
        <f aca="false">SUM($D$4:D14)</f>
        <v>180</v>
      </c>
      <c r="G14" s="16" t="n">
        <f aca="false">F14/$D$16</f>
        <v>0.983606557377049</v>
      </c>
    </row>
    <row r="15" customFormat="false" ht="15" hidden="false" customHeight="false" outlineLevel="0" collapsed="false">
      <c r="A15" s="17" t="s">
        <v>236</v>
      </c>
      <c r="B15" s="15" t="n">
        <v>1.8</v>
      </c>
      <c r="C15" s="15" t="n">
        <v>99</v>
      </c>
      <c r="D15" s="17" t="n">
        <f aca="false">COUNTIFS(分行明細!$Q$5:$Q$187,"&gt;="&amp;B15,分行明細!$Q$5:$Q$187,"&lt;"&amp;C15)</f>
        <v>3</v>
      </c>
      <c r="E15" s="16" t="n">
        <f aca="false">D15/$D$16</f>
        <v>0.0163934426229508</v>
      </c>
      <c r="F15" s="17" t="n">
        <f aca="false">SUM($D$4:D15)</f>
        <v>183</v>
      </c>
      <c r="G15" s="16" t="n">
        <f aca="false">F15/$D$16</f>
        <v>1</v>
      </c>
    </row>
    <row r="16" customFormat="false" ht="15" hidden="false" customHeight="false" outlineLevel="0" collapsed="false">
      <c r="A16" s="18" t="s">
        <v>216</v>
      </c>
      <c r="B16" s="19"/>
      <c r="C16" s="19"/>
      <c r="D16" s="18" t="n">
        <f aca="false">SUM(D4:D15)</f>
        <v>183</v>
      </c>
      <c r="E16" s="20" t="n">
        <f aca="false">SUM(E4:E15)</f>
        <v>1</v>
      </c>
      <c r="F16" s="18"/>
      <c r="G16" s="20"/>
    </row>
    <row r="18" customFormat="false" ht="15" hidden="false" customHeight="false" outlineLevel="0" collapsed="false">
      <c r="A18" s="10" t="s">
        <v>237</v>
      </c>
    </row>
    <row r="19" customFormat="false" ht="15" hidden="false" customHeight="false" outlineLevel="0" collapsed="false">
      <c r="A19" s="21" t="s">
        <v>238</v>
      </c>
      <c r="B19" s="22" t="n">
        <f aca="false">COUNTIFS(分行明細!$Q$5:$Q$187,"&gt;=1")</f>
        <v>99</v>
      </c>
    </row>
    <row r="20" customFormat="false" ht="15" hidden="false" customHeight="false" outlineLevel="0" collapsed="false">
      <c r="A20" s="21" t="s">
        <v>239</v>
      </c>
      <c r="B20" s="22" t="n">
        <f aca="false">COUNTIFS(分行明細!$Q$5:$Q$187,"&lt;1")</f>
        <v>84</v>
      </c>
    </row>
    <row r="21" customFormat="false" ht="15" hidden="false" customHeight="false" outlineLevel="0" collapsed="false">
      <c r="A21" s="21" t="s">
        <v>240</v>
      </c>
      <c r="B21" s="22" t="n">
        <f aca="false">COUNTIFS(分行明細!$Q$5:$Q$187,"&lt;0.75")</f>
        <v>19</v>
      </c>
    </row>
    <row r="22" customFormat="false" ht="15" hidden="false" customHeight="false" outlineLevel="0" collapsed="false">
      <c r="A22" s="21" t="s">
        <v>241</v>
      </c>
      <c r="B22" s="16" t="n">
        <f aca="false">MEDIAN(分行明細!$L$5:$L$187)</f>
        <v>1.01412970723307</v>
      </c>
    </row>
    <row r="23" customFormat="false" ht="15" hidden="false" customHeight="false" outlineLevel="0" collapsed="false">
      <c r="A23" s="21" t="s">
        <v>242</v>
      </c>
      <c r="B23" s="16" t="n">
        <f aca="false">AVERAGE(分行明細!$L$5:$L$187)</f>
        <v>1.04641142634779</v>
      </c>
    </row>
    <row r="24" customFormat="false" ht="15" hidden="false" customHeight="false" outlineLevel="0" collapsed="false">
      <c r="A24" s="21" t="s">
        <v>243</v>
      </c>
      <c r="B24" s="16" t="n">
        <f aca="false">分行明細!K188/分行明細!J188</f>
        <v>1.05941423772505</v>
      </c>
    </row>
    <row r="25" customFormat="false" ht="15" hidden="false" customHeight="false" outlineLevel="0" collapsed="false">
      <c r="A25" s="21" t="s">
        <v>244</v>
      </c>
      <c r="B25" s="16" t="n">
        <f aca="false">MIN(分行明細!$L$5:$L$187)</f>
        <v>0.52210998245614</v>
      </c>
    </row>
    <row r="26" customFormat="false" ht="15" hidden="false" customHeight="false" outlineLevel="0" collapsed="false">
      <c r="A26" s="21" t="s">
        <v>245</v>
      </c>
      <c r="B26" s="16" t="n">
        <f aca="false">MAX(分行明細!$L$5:$L$187)</f>
        <v>2.14480437198421</v>
      </c>
    </row>
    <row r="28" customFormat="false" ht="26.85" hidden="false" customHeight="false" outlineLevel="0" collapsed="false">
      <c r="A28" s="4" t="s">
        <v>246</v>
      </c>
      <c r="B28" s="4" t="s">
        <v>247</v>
      </c>
      <c r="C28" s="3" t="s">
        <v>221</v>
      </c>
      <c r="D28" s="3" t="s">
        <v>222</v>
      </c>
      <c r="E28" s="4" t="s">
        <v>11</v>
      </c>
      <c r="F28" s="4" t="s">
        <v>12</v>
      </c>
      <c r="G28" s="3" t="s">
        <v>248</v>
      </c>
      <c r="H28" s="3" t="s">
        <v>249</v>
      </c>
    </row>
    <row r="29" customFormat="false" ht="15" hidden="false" customHeight="false" outlineLevel="0" collapsed="false">
      <c r="A29" s="17" t="s">
        <v>96</v>
      </c>
      <c r="B29" s="17" t="s">
        <v>236</v>
      </c>
      <c r="C29" s="17" t="n">
        <f aca="false">COUNTIFS(分行明細!$F$5:$F$187,A29)</f>
        <v>3</v>
      </c>
      <c r="D29" s="16" t="n">
        <f aca="false">C29/$C$35</f>
        <v>0.0163934426229508</v>
      </c>
      <c r="E29" s="23" t="n">
        <f aca="false">SUMIFS(分行明細!$J$5:$J$187,分行明細!$F$5:$F$187,A29)</f>
        <v>158210000</v>
      </c>
      <c r="F29" s="23" t="n">
        <f aca="false">SUMIFS(分行明細!$K$5:$K$187,分行明細!$F$5:$F$187,A29)</f>
        <v>316295495</v>
      </c>
      <c r="G29" s="16" t="n">
        <f aca="false">IFERROR(F29/E29,0)</f>
        <v>1.99921303963087</v>
      </c>
      <c r="H29" s="23" t="n">
        <f aca="false">F29-E29</f>
        <v>158085495</v>
      </c>
    </row>
    <row r="30" customFormat="false" ht="15" hidden="false" customHeight="false" outlineLevel="0" collapsed="false">
      <c r="A30" s="17" t="s">
        <v>38</v>
      </c>
      <c r="B30" s="17" t="s">
        <v>250</v>
      </c>
      <c r="C30" s="17" t="n">
        <f aca="false">COUNTIFS(分行明細!$F$5:$F$187,A30)</f>
        <v>4</v>
      </c>
      <c r="D30" s="16" t="n">
        <f aca="false">C30/$C$35</f>
        <v>0.0218579234972678</v>
      </c>
      <c r="E30" s="23" t="n">
        <f aca="false">SUMIFS(分行明細!$J$5:$J$187,分行明細!$F$5:$F$187,A30)</f>
        <v>380440000</v>
      </c>
      <c r="F30" s="23" t="n">
        <f aca="false">SUMIFS(分行明細!$K$5:$K$187,分行明細!$F$5:$F$187,A30)</f>
        <v>600480024</v>
      </c>
      <c r="G30" s="16" t="n">
        <f aca="false">IFERROR(F30/E30,0)</f>
        <v>1.57838298811902</v>
      </c>
      <c r="H30" s="23" t="n">
        <f aca="false">F30-E30</f>
        <v>220040024</v>
      </c>
    </row>
    <row r="31" customFormat="false" ht="15" hidden="false" customHeight="false" outlineLevel="0" collapsed="false">
      <c r="A31" s="17" t="s">
        <v>22</v>
      </c>
      <c r="B31" s="17" t="s">
        <v>251</v>
      </c>
      <c r="C31" s="17" t="n">
        <f aca="false">COUNTIFS(分行明細!$F$5:$F$187,A31)</f>
        <v>40</v>
      </c>
      <c r="D31" s="16" t="n">
        <f aca="false">C31/$C$35</f>
        <v>0.218579234972678</v>
      </c>
      <c r="E31" s="23" t="n">
        <f aca="false">SUMIFS(分行明細!$J$5:$J$187,分行明細!$F$5:$F$187,A31)</f>
        <v>2651530000</v>
      </c>
      <c r="F31" s="23" t="n">
        <f aca="false">SUMIFS(分行明細!$K$5:$K$187,分行明細!$F$5:$F$187,A31)</f>
        <v>3438229593</v>
      </c>
      <c r="G31" s="16" t="n">
        <f aca="false">IFERROR(F31/E31,0)</f>
        <v>1.29669647071691</v>
      </c>
      <c r="H31" s="23" t="n">
        <f aca="false">F31-E31</f>
        <v>786699593</v>
      </c>
    </row>
    <row r="32" customFormat="false" ht="15" hidden="false" customHeight="false" outlineLevel="0" collapsed="false">
      <c r="A32" s="17" t="s">
        <v>21</v>
      </c>
      <c r="B32" s="17" t="s">
        <v>252</v>
      </c>
      <c r="C32" s="17" t="n">
        <f aca="false">COUNTIFS(分行明細!$F$5:$F$187,A32)</f>
        <v>52</v>
      </c>
      <c r="D32" s="16" t="n">
        <f aca="false">C32/$C$35</f>
        <v>0.284153005464481</v>
      </c>
      <c r="E32" s="23" t="n">
        <f aca="false">SUMIFS(分行明細!$J$5:$J$187,分行明細!$F$5:$F$187,A32)</f>
        <v>3589010000</v>
      </c>
      <c r="F32" s="23" t="n">
        <f aca="false">SUMIFS(分行明細!$K$5:$K$187,分行明細!$F$5:$F$187,A32)</f>
        <v>3947351530</v>
      </c>
      <c r="G32" s="16" t="n">
        <f aca="false">IFERROR(F32/E32,0)</f>
        <v>1.0998441157868</v>
      </c>
      <c r="H32" s="23" t="n">
        <f aca="false">F32-E32</f>
        <v>358341530</v>
      </c>
    </row>
    <row r="33" customFormat="false" ht="15" hidden="false" customHeight="false" outlineLevel="0" collapsed="false">
      <c r="A33" s="17" t="s">
        <v>28</v>
      </c>
      <c r="B33" s="17" t="s">
        <v>253</v>
      </c>
      <c r="C33" s="17" t="n">
        <f aca="false">COUNTIFS(分行明細!$F$5:$F$187,A33)</f>
        <v>65</v>
      </c>
      <c r="D33" s="16" t="n">
        <f aca="false">C33/$C$35</f>
        <v>0.355191256830601</v>
      </c>
      <c r="E33" s="23" t="n">
        <f aca="false">SUMIFS(分行明細!$J$5:$J$187,分行明細!$F$5:$F$187,A33)</f>
        <v>3908460000</v>
      </c>
      <c r="F33" s="23" t="n">
        <f aca="false">SUMIFS(分行明細!$K$5:$K$187,分行明細!$F$5:$F$187,A33)</f>
        <v>3432135424</v>
      </c>
      <c r="G33" s="16" t="n">
        <f aca="false">IFERROR(F33/E33,0)</f>
        <v>0.878129857795654</v>
      </c>
      <c r="H33" s="23" t="n">
        <f aca="false">F33-E33</f>
        <v>-476324576</v>
      </c>
    </row>
    <row r="34" customFormat="false" ht="15" hidden="false" customHeight="false" outlineLevel="0" collapsed="false">
      <c r="A34" s="17" t="s">
        <v>25</v>
      </c>
      <c r="B34" s="14" t="s">
        <v>254</v>
      </c>
      <c r="C34" s="17" t="n">
        <f aca="false">COUNTIFS(分行明細!$F$5:$F$187,A34)</f>
        <v>19</v>
      </c>
      <c r="D34" s="16" t="n">
        <f aca="false">C34/$C$35</f>
        <v>0.103825136612022</v>
      </c>
      <c r="E34" s="23" t="n">
        <f aca="false">SUMIFS(分行明細!$J$5:$J$187,分行明細!$F$5:$F$187,A34)</f>
        <v>1097730000</v>
      </c>
      <c r="F34" s="23" t="n">
        <f aca="false">SUMIFS(分行明細!$K$5:$K$187,分行明細!$F$5:$F$187,A34)</f>
        <v>751107303</v>
      </c>
      <c r="G34" s="16" t="n">
        <f aca="false">IFERROR(F34/E34,0)</f>
        <v>0.684236836927113</v>
      </c>
      <c r="H34" s="23" t="n">
        <f aca="false">F34-E34</f>
        <v>-346622697</v>
      </c>
    </row>
    <row r="35" customFormat="false" ht="15" hidden="false" customHeight="false" outlineLevel="0" collapsed="false">
      <c r="A35" s="18" t="s">
        <v>216</v>
      </c>
      <c r="B35" s="18"/>
      <c r="C35" s="18" t="n">
        <f aca="false">SUM(C29:C34)</f>
        <v>183</v>
      </c>
      <c r="D35" s="20" t="n">
        <f aca="false">SUM(D29:D34)</f>
        <v>1</v>
      </c>
      <c r="E35" s="24" t="n">
        <f aca="false">SUM(E29:E34)</f>
        <v>11785380000</v>
      </c>
      <c r="F35" s="24" t="n">
        <f aca="false">SUM(F29:F34)</f>
        <v>12485599369</v>
      </c>
      <c r="G35" s="20" t="n">
        <f aca="false">F35/E35</f>
        <v>1.05941423772505</v>
      </c>
      <c r="H35" s="24" t="n">
        <f aca="false">SUM(H29:H34)</f>
        <v>700219369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7" min="5" style="0" width="15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2" min="10" style="0" width="15"/>
    <col collapsed="false" customWidth="true" hidden="false" outlineLevel="0" max="14" min="13" style="0" width="10"/>
    <col collapsed="false" customWidth="true" hidden="false" outlineLevel="0" max="16" min="15" style="0" width="13"/>
    <col collapsed="false" customWidth="true" hidden="false" outlineLevel="0" max="17" min="17" style="0" width="10"/>
  </cols>
  <sheetData>
    <row r="1" customFormat="false" ht="15" hidden="false" customHeight="false" outlineLevel="0" collapsed="false">
      <c r="A1" s="1" t="s">
        <v>255</v>
      </c>
    </row>
    <row r="2" customFormat="false" ht="15" hidden="false" customHeight="false" outlineLevel="0" collapsed="false">
      <c r="A2" s="2" t="s">
        <v>256</v>
      </c>
    </row>
    <row r="4" customFormat="false" ht="45" hidden="false" customHeight="true" outlineLevel="0" collapsed="false">
      <c r="A4" s="4" t="s">
        <v>257</v>
      </c>
      <c r="B4" s="4" t="s">
        <v>258</v>
      </c>
      <c r="C4" s="4" t="s">
        <v>259</v>
      </c>
      <c r="D4" s="3" t="s">
        <v>221</v>
      </c>
      <c r="E4" s="4" t="s">
        <v>9</v>
      </c>
      <c r="F4" s="4" t="s">
        <v>11</v>
      </c>
      <c r="G4" s="4" t="s">
        <v>12</v>
      </c>
      <c r="H4" s="4" t="s">
        <v>260</v>
      </c>
      <c r="I4" s="4" t="s">
        <v>14</v>
      </c>
      <c r="J4" s="4" t="s">
        <v>15</v>
      </c>
      <c r="K4" s="3" t="s">
        <v>261</v>
      </c>
      <c r="L4" s="3" t="s">
        <v>262</v>
      </c>
      <c r="M4" s="3" t="s">
        <v>263</v>
      </c>
      <c r="N4" s="3" t="s">
        <v>264</v>
      </c>
      <c r="O4" s="4" t="s">
        <v>265</v>
      </c>
      <c r="P4" s="4" t="s">
        <v>266</v>
      </c>
      <c r="Q4" s="3" t="s">
        <v>267</v>
      </c>
    </row>
    <row r="5" customFormat="false" ht="15" hidden="false" customHeight="false" outlineLevel="0" collapsed="false">
      <c r="A5" s="17" t="s">
        <v>96</v>
      </c>
      <c r="B5" s="17" t="s">
        <v>268</v>
      </c>
      <c r="C5" s="14" t="s">
        <v>269</v>
      </c>
      <c r="D5" s="17" t="n">
        <f aca="false">COUNTIFS(分行明細!$E$5:$E$187,A5)</f>
        <v>3</v>
      </c>
      <c r="E5" s="23" t="n">
        <f aca="false">SUMIFS(分行明細!$H$5:$H$187,分行明細!$E$5:$E$187,A5)</f>
        <v>140411824</v>
      </c>
      <c r="F5" s="23" t="n">
        <f aca="false">SUMIFS(分行明細!$J$5:$J$187,分行明細!$E$5:$E$187,A5)</f>
        <v>105120000</v>
      </c>
      <c r="G5" s="23" t="n">
        <f aca="false">SUMIFS(分行明細!$K$5:$K$187,分行明細!$E$5:$E$187,A5)</f>
        <v>198394389</v>
      </c>
      <c r="H5" s="16" t="n">
        <f aca="false">IFERROR(G5/F5,0)</f>
        <v>1.88731344178082</v>
      </c>
      <c r="I5" s="16" t="n">
        <f aca="false">IFERROR(F5/E5-1,0)</f>
        <v>-0.251345100395534</v>
      </c>
      <c r="J5" s="23" t="n">
        <f aca="false">G5-F5</f>
        <v>93274389</v>
      </c>
      <c r="K5" s="23" t="n">
        <f aca="false">SUMIFS(分行明細!$O$5:$O$187,分行明細!$E$5:$E$187,A5)</f>
        <v>95405767</v>
      </c>
      <c r="L5" s="23" t="n">
        <f aca="false">SUMIFS(分行明細!$P$5:$P$187,分行明細!$E$5:$E$187,A5)</f>
        <v>-2131378</v>
      </c>
      <c r="M5" s="17" t="n">
        <f aca="false">COUNTIFS(分行明細!$E$5:$E$187,A5,分行明細!$N$5:$N$187,"&gt;=0")</f>
        <v>2</v>
      </c>
      <c r="N5" s="17" t="n">
        <f aca="false">COUNTIFS(分行明細!$E$5:$E$187,A5,分行明細!$N$5:$N$187,"&lt;0")</f>
        <v>1</v>
      </c>
      <c r="O5" s="17" t="n">
        <f aca="false">COUNTIFS(分行明細!$E$5:$E$187,A5,分行明細!$F$5:$F$187,"TYPE_5")+COUNTIFS(分行明細!$E$5:$E$187,A5,分行明細!$F$5:$F$187,"TYPE_6")</f>
        <v>1</v>
      </c>
      <c r="P5" s="17" t="n">
        <f aca="false">COUNTIFS(分行明細!$E$5:$E$187,A5,分行明細!$F$5:$F$187,"TYPE_6")</f>
        <v>0</v>
      </c>
      <c r="Q5" s="16" t="n">
        <f aca="false">IFERROR(P5/D5,0)</f>
        <v>0</v>
      </c>
    </row>
    <row r="6" customFormat="false" ht="15" hidden="false" customHeight="false" outlineLevel="0" collapsed="false">
      <c r="A6" s="17" t="s">
        <v>38</v>
      </c>
      <c r="B6" s="17" t="s">
        <v>270</v>
      </c>
      <c r="C6" s="14" t="s">
        <v>271</v>
      </c>
      <c r="D6" s="17" t="n">
        <f aca="false">COUNTIFS(分行明細!$E$5:$E$187,A6)</f>
        <v>5</v>
      </c>
      <c r="E6" s="23" t="n">
        <f aca="false">SUMIFS(分行明細!$H$5:$H$187,分行明細!$E$5:$E$187,A6)</f>
        <v>318550006</v>
      </c>
      <c r="F6" s="23" t="n">
        <f aca="false">SUMIFS(分行明細!$J$5:$J$187,分行明細!$E$5:$E$187,A6)</f>
        <v>260640000</v>
      </c>
      <c r="G6" s="23" t="n">
        <f aca="false">SUMIFS(分行明細!$K$5:$K$187,分行明細!$E$5:$E$187,A6)</f>
        <v>334547528</v>
      </c>
      <c r="H6" s="16" t="n">
        <f aca="false">IFERROR(G6/F6,0)</f>
        <v>1.28356172498465</v>
      </c>
      <c r="I6" s="16" t="n">
        <f aca="false">IFERROR(F6/E6-1,0)</f>
        <v>-0.181792512664401</v>
      </c>
      <c r="J6" s="23" t="n">
        <f aca="false">G6-F6</f>
        <v>73907528</v>
      </c>
      <c r="K6" s="23" t="n">
        <f aca="false">SUMIFS(分行明細!$O$5:$O$187,分行明細!$E$5:$E$187,A6)</f>
        <v>88003176</v>
      </c>
      <c r="L6" s="23" t="n">
        <f aca="false">SUMIFS(分行明細!$P$5:$P$187,分行明細!$E$5:$E$187,A6)</f>
        <v>-14095648</v>
      </c>
      <c r="M6" s="17" t="n">
        <f aca="false">COUNTIFS(分行明細!$E$5:$E$187,A6,分行明細!$N$5:$N$187,"&gt;=0")</f>
        <v>3</v>
      </c>
      <c r="N6" s="17" t="n">
        <f aca="false">COUNTIFS(分行明細!$E$5:$E$187,A6,分行明細!$N$5:$N$187,"&lt;0")</f>
        <v>2</v>
      </c>
      <c r="O6" s="17" t="n">
        <f aca="false">COUNTIFS(分行明細!$E$5:$E$187,A6,分行明細!$F$5:$F$187,"TYPE_5")+COUNTIFS(分行明細!$E$5:$E$187,A6,分行明細!$F$5:$F$187,"TYPE_6")</f>
        <v>2</v>
      </c>
      <c r="P6" s="17" t="n">
        <f aca="false">COUNTIFS(分行明細!$E$5:$E$187,A6,分行明細!$F$5:$F$187,"TYPE_6")</f>
        <v>0</v>
      </c>
      <c r="Q6" s="16" t="n">
        <f aca="false">IFERROR(P6/D6,0)</f>
        <v>0</v>
      </c>
    </row>
    <row r="7" customFormat="false" ht="15" hidden="false" customHeight="false" outlineLevel="0" collapsed="false">
      <c r="A7" s="17" t="s">
        <v>22</v>
      </c>
      <c r="B7" s="17" t="s">
        <v>272</v>
      </c>
      <c r="C7" s="14" t="s">
        <v>273</v>
      </c>
      <c r="D7" s="17" t="n">
        <f aca="false">COUNTIFS(分行明細!$E$5:$E$187,A7)</f>
        <v>11</v>
      </c>
      <c r="E7" s="23" t="n">
        <f aca="false">SUMIFS(分行明細!$H$5:$H$187,分行明細!$E$5:$E$187,A7)</f>
        <v>863954080</v>
      </c>
      <c r="F7" s="23" t="n">
        <f aca="false">SUMIFS(分行明細!$J$5:$J$187,分行明細!$E$5:$E$187,A7)</f>
        <v>804480000</v>
      </c>
      <c r="G7" s="23" t="n">
        <f aca="false">SUMIFS(分行明細!$K$5:$K$187,分行明細!$E$5:$E$187,A7)</f>
        <v>996943084</v>
      </c>
      <c r="H7" s="16" t="n">
        <f aca="false">IFERROR(G7/F7,0)</f>
        <v>1.23923911595068</v>
      </c>
      <c r="I7" s="16" t="n">
        <f aca="false">IFERROR(F7/E7-1,0)</f>
        <v>-0.06883939942734</v>
      </c>
      <c r="J7" s="23" t="n">
        <f aca="false">G7-F7</f>
        <v>192463084</v>
      </c>
      <c r="K7" s="23" t="n">
        <f aca="false">SUMIFS(分行明細!$O$5:$O$187,分行明細!$E$5:$E$187,A7)</f>
        <v>192463084</v>
      </c>
      <c r="L7" s="23" t="n">
        <f aca="false">SUMIFS(分行明細!$P$5:$P$187,分行明細!$E$5:$E$187,A7)</f>
        <v>0</v>
      </c>
      <c r="M7" s="17" t="n">
        <f aca="false">COUNTIFS(分行明細!$E$5:$E$187,A7,分行明細!$N$5:$N$187,"&gt;=0")</f>
        <v>11</v>
      </c>
      <c r="N7" s="17" t="n">
        <f aca="false">COUNTIFS(分行明細!$E$5:$E$187,A7,分行明細!$N$5:$N$187,"&lt;0")</f>
        <v>0</v>
      </c>
      <c r="O7" s="17" t="n">
        <f aca="false">COUNTIFS(分行明細!$E$5:$E$187,A7,分行明細!$F$5:$F$187,"TYPE_5")+COUNTIFS(分行明細!$E$5:$E$187,A7,分行明細!$F$5:$F$187,"TYPE_6")</f>
        <v>0</v>
      </c>
      <c r="P7" s="17" t="n">
        <f aca="false">COUNTIFS(分行明細!$E$5:$E$187,A7,分行明細!$F$5:$F$187,"TYPE_6")</f>
        <v>0</v>
      </c>
      <c r="Q7" s="16" t="n">
        <f aca="false">IFERROR(P7/D7,0)</f>
        <v>0</v>
      </c>
    </row>
    <row r="8" customFormat="false" ht="15" hidden="false" customHeight="false" outlineLevel="0" collapsed="false">
      <c r="A8" s="17" t="s">
        <v>21</v>
      </c>
      <c r="B8" s="17" t="s">
        <v>274</v>
      </c>
      <c r="C8" s="14" t="s">
        <v>275</v>
      </c>
      <c r="D8" s="17" t="n">
        <f aca="false">COUNTIFS(分行明細!$E$5:$E$187,A8)</f>
        <v>6</v>
      </c>
      <c r="E8" s="23" t="n">
        <f aca="false">SUMIFS(分行明細!$H$5:$H$187,分行明細!$E$5:$E$187,A8)</f>
        <v>534730685</v>
      </c>
      <c r="F8" s="23" t="n">
        <f aca="false">SUMIFS(分行明細!$J$5:$J$187,分行明細!$E$5:$E$187,A8)</f>
        <v>531970000</v>
      </c>
      <c r="G8" s="23" t="n">
        <f aca="false">SUMIFS(分行明細!$K$5:$K$187,分行明細!$E$5:$E$187,A8)</f>
        <v>693732166</v>
      </c>
      <c r="H8" s="16" t="n">
        <f aca="false">IFERROR(G8/F8,0)</f>
        <v>1.30408136925015</v>
      </c>
      <c r="I8" s="16" t="n">
        <f aca="false">IFERROR(F8/E8-1,0)</f>
        <v>-0.00516275777216713</v>
      </c>
      <c r="J8" s="23" t="n">
        <f aca="false">G8-F8</f>
        <v>161762166</v>
      </c>
      <c r="K8" s="23" t="n">
        <f aca="false">SUMIFS(分行明細!$O$5:$O$187,分行明細!$E$5:$E$187,A8)</f>
        <v>164754047</v>
      </c>
      <c r="L8" s="23" t="n">
        <f aca="false">SUMIFS(分行明細!$P$5:$P$187,分行明細!$E$5:$E$187,A8)</f>
        <v>-2991881</v>
      </c>
      <c r="M8" s="17" t="n">
        <f aca="false">COUNTIFS(分行明細!$E$5:$E$187,A8,分行明細!$N$5:$N$187,"&gt;=0")</f>
        <v>5</v>
      </c>
      <c r="N8" s="17" t="n">
        <f aca="false">COUNTIFS(分行明細!$E$5:$E$187,A8,分行明細!$N$5:$N$187,"&lt;0")</f>
        <v>1</v>
      </c>
      <c r="O8" s="17" t="n">
        <f aca="false">COUNTIFS(分行明細!$E$5:$E$187,A8,分行明細!$F$5:$F$187,"TYPE_5")+COUNTIFS(分行明細!$E$5:$E$187,A8,分行明細!$F$5:$F$187,"TYPE_6")</f>
        <v>1</v>
      </c>
      <c r="P8" s="17" t="n">
        <f aca="false">COUNTIFS(分行明細!$E$5:$E$187,A8,分行明細!$F$5:$F$187,"TYPE_6")</f>
        <v>0</v>
      </c>
      <c r="Q8" s="16" t="n">
        <f aca="false">IFERROR(P8/D8,0)</f>
        <v>0</v>
      </c>
    </row>
    <row r="9" customFormat="false" ht="15" hidden="false" customHeight="false" outlineLevel="0" collapsed="false">
      <c r="A9" s="17" t="s">
        <v>28</v>
      </c>
      <c r="B9" s="17" t="s">
        <v>276</v>
      </c>
      <c r="C9" s="14" t="s">
        <v>277</v>
      </c>
      <c r="D9" s="17" t="n">
        <f aca="false">COUNTIFS(分行明細!$E$5:$E$187,A9)</f>
        <v>25</v>
      </c>
      <c r="E9" s="23" t="n">
        <f aca="false">SUMIFS(分行明細!$H$5:$H$187,分行明細!$E$5:$E$187,A9)</f>
        <v>1603285600</v>
      </c>
      <c r="F9" s="23" t="n">
        <f aca="false">SUMIFS(分行明細!$J$5:$J$187,分行明細!$E$5:$E$187,A9)</f>
        <v>1731760000</v>
      </c>
      <c r="G9" s="23" t="n">
        <f aca="false">SUMIFS(分行明細!$K$5:$K$187,分行明細!$E$5:$E$187,A9)</f>
        <v>1939518684</v>
      </c>
      <c r="H9" s="16" t="n">
        <f aca="false">IFERROR(G9/F9,0)</f>
        <v>1.11996967478173</v>
      </c>
      <c r="I9" s="16" t="n">
        <f aca="false">IFERROR(F9/E9-1,0)</f>
        <v>0.0801319490426409</v>
      </c>
      <c r="J9" s="23" t="n">
        <f aca="false">G9-F9</f>
        <v>207758684</v>
      </c>
      <c r="K9" s="23" t="n">
        <f aca="false">SUMIFS(分行明細!$O$5:$O$187,分行明細!$E$5:$E$187,A9)</f>
        <v>236460620</v>
      </c>
      <c r="L9" s="23" t="n">
        <f aca="false">SUMIFS(分行明細!$P$5:$P$187,分行明細!$E$5:$E$187,A9)</f>
        <v>-28701936</v>
      </c>
      <c r="M9" s="17" t="n">
        <f aca="false">COUNTIFS(分行明細!$E$5:$E$187,A9,分行明細!$N$5:$N$187,"&gt;=0")</f>
        <v>20</v>
      </c>
      <c r="N9" s="17" t="n">
        <f aca="false">COUNTIFS(分行明細!$E$5:$E$187,A9,分行明細!$N$5:$N$187,"&lt;0")</f>
        <v>5</v>
      </c>
      <c r="O9" s="17" t="n">
        <f aca="false">COUNTIFS(分行明細!$E$5:$E$187,A9,分行明細!$F$5:$F$187,"TYPE_5")+COUNTIFS(分行明細!$E$5:$E$187,A9,分行明細!$F$5:$F$187,"TYPE_6")</f>
        <v>5</v>
      </c>
      <c r="P9" s="17" t="n">
        <f aca="false">COUNTIFS(分行明細!$E$5:$E$187,A9,分行明細!$F$5:$F$187,"TYPE_6")</f>
        <v>0</v>
      </c>
      <c r="Q9" s="16" t="n">
        <f aca="false">IFERROR(P9/D9,0)</f>
        <v>0</v>
      </c>
    </row>
    <row r="10" customFormat="false" ht="15" hidden="false" customHeight="false" outlineLevel="0" collapsed="false">
      <c r="A10" s="17" t="s">
        <v>25</v>
      </c>
      <c r="B10" s="17" t="s">
        <v>278</v>
      </c>
      <c r="C10" s="14" t="s">
        <v>279</v>
      </c>
      <c r="D10" s="17" t="n">
        <f aca="false">COUNTIFS(分行明細!$E$5:$E$187,A10)</f>
        <v>20</v>
      </c>
      <c r="E10" s="23" t="n">
        <f aca="false">SUMIFS(分行明細!$H$5:$H$187,分行明細!$E$5:$E$187,A10)</f>
        <v>1175703816</v>
      </c>
      <c r="F10" s="23" t="n">
        <f aca="false">SUMIFS(分行明細!$J$5:$J$187,分行明細!$E$5:$E$187,A10)</f>
        <v>1305460000</v>
      </c>
      <c r="G10" s="23" t="n">
        <f aca="false">SUMIFS(分行明細!$K$5:$K$187,分行明細!$E$5:$E$187,A10)</f>
        <v>1371146437</v>
      </c>
      <c r="H10" s="16" t="n">
        <f aca="false">IFERROR(G10/F10,0)</f>
        <v>1.05031669832856</v>
      </c>
      <c r="I10" s="16" t="n">
        <f aca="false">IFERROR(F10/E10-1,0)</f>
        <v>0.110364687291276</v>
      </c>
      <c r="J10" s="23" t="n">
        <f aca="false">G10-F10</f>
        <v>65686437</v>
      </c>
      <c r="K10" s="23" t="n">
        <f aca="false">SUMIFS(分行明細!$O$5:$O$187,分行明細!$E$5:$E$187,A10)</f>
        <v>130455738</v>
      </c>
      <c r="L10" s="23" t="n">
        <f aca="false">SUMIFS(分行明細!$P$5:$P$187,分行明細!$E$5:$E$187,A10)</f>
        <v>-64769301</v>
      </c>
      <c r="M10" s="17" t="n">
        <f aca="false">COUNTIFS(分行明細!$E$5:$E$187,A10,分行明細!$N$5:$N$187,"&gt;=0")</f>
        <v>11</v>
      </c>
      <c r="N10" s="17" t="n">
        <f aca="false">COUNTIFS(分行明細!$E$5:$E$187,A10,分行明細!$N$5:$N$187,"&lt;0")</f>
        <v>9</v>
      </c>
      <c r="O10" s="17" t="n">
        <f aca="false">COUNTIFS(分行明細!$E$5:$E$187,A10,分行明細!$F$5:$F$187,"TYPE_5")+COUNTIFS(分行明細!$E$5:$E$187,A10,分行明細!$F$5:$F$187,"TYPE_6")</f>
        <v>9</v>
      </c>
      <c r="P10" s="17" t="n">
        <f aca="false">COUNTIFS(分行明細!$E$5:$E$187,A10,分行明細!$F$5:$F$187,"TYPE_6")</f>
        <v>0</v>
      </c>
      <c r="Q10" s="16" t="n">
        <f aca="false">IFERROR(P10/D10,0)</f>
        <v>0</v>
      </c>
    </row>
    <row r="11" customFormat="false" ht="15" hidden="false" customHeight="false" outlineLevel="0" collapsed="false">
      <c r="A11" s="17" t="s">
        <v>27</v>
      </c>
      <c r="B11" s="17" t="s">
        <v>280</v>
      </c>
      <c r="C11" s="14" t="s">
        <v>281</v>
      </c>
      <c r="D11" s="17" t="n">
        <f aca="false">COUNTIFS(分行明細!$E$5:$E$187,A11)</f>
        <v>36</v>
      </c>
      <c r="E11" s="23" t="n">
        <f aca="false">SUMIFS(分行明細!$H$5:$H$187,分行明細!$E$5:$E$187,A11)</f>
        <v>1766590632</v>
      </c>
      <c r="F11" s="23" t="n">
        <f aca="false">SUMIFS(分行明細!$J$5:$J$187,分行明細!$E$5:$E$187,A11)</f>
        <v>2151820000</v>
      </c>
      <c r="G11" s="23" t="n">
        <f aca="false">SUMIFS(分行明細!$K$5:$K$187,分行明細!$E$5:$E$187,A11)</f>
        <v>2282804453</v>
      </c>
      <c r="H11" s="16" t="n">
        <f aca="false">IFERROR(G11/F11,0)</f>
        <v>1.06087147298566</v>
      </c>
      <c r="I11" s="16" t="n">
        <f aca="false">IFERROR(F11/E11-1,0)</f>
        <v>0.218063744379688</v>
      </c>
      <c r="J11" s="23" t="n">
        <f aca="false">G11-F11</f>
        <v>130984453</v>
      </c>
      <c r="K11" s="23" t="n">
        <f aca="false">SUMIFS(分行明細!$O$5:$O$187,分行明細!$E$5:$E$187,A11)</f>
        <v>280304068</v>
      </c>
      <c r="L11" s="23" t="n">
        <f aca="false">SUMIFS(分行明細!$P$5:$P$187,分行明細!$E$5:$E$187,A11)</f>
        <v>-149319615</v>
      </c>
      <c r="M11" s="17" t="n">
        <f aca="false">COUNTIFS(分行明細!$E$5:$E$187,A11,分行明細!$N$5:$N$187,"&gt;=0")</f>
        <v>20</v>
      </c>
      <c r="N11" s="17" t="n">
        <f aca="false">COUNTIFS(分行明細!$E$5:$E$187,A11,分行明細!$N$5:$N$187,"&lt;0")</f>
        <v>16</v>
      </c>
      <c r="O11" s="17" t="n">
        <f aca="false">COUNTIFS(分行明細!$E$5:$E$187,A11,分行明細!$F$5:$F$187,"TYPE_5")+COUNTIFS(分行明細!$E$5:$E$187,A11,分行明細!$F$5:$F$187,"TYPE_6")</f>
        <v>16</v>
      </c>
      <c r="P11" s="17" t="n">
        <f aca="false">COUNTIFS(分行明細!$E$5:$E$187,A11,分行明細!$F$5:$F$187,"TYPE_6")</f>
        <v>3</v>
      </c>
      <c r="Q11" s="16" t="n">
        <f aca="false">IFERROR(P11/D11,0)</f>
        <v>0.0833333333333333</v>
      </c>
    </row>
    <row r="12" customFormat="false" ht="15" hidden="false" customHeight="false" outlineLevel="0" collapsed="false">
      <c r="A12" s="17" t="s">
        <v>30</v>
      </c>
      <c r="B12" s="17" t="s">
        <v>282</v>
      </c>
      <c r="C12" s="14" t="s">
        <v>283</v>
      </c>
      <c r="D12" s="17" t="n">
        <f aca="false">COUNTIFS(分行明細!$E$5:$E$187,A12)</f>
        <v>53</v>
      </c>
      <c r="E12" s="23" t="n">
        <f aca="false">SUMIFS(分行明細!$H$5:$H$187,分行明細!$E$5:$E$187,A12)</f>
        <v>2361091197</v>
      </c>
      <c r="F12" s="23" t="n">
        <f aca="false">SUMIFS(分行明細!$J$5:$J$187,分行明細!$E$5:$E$187,A12)</f>
        <v>3359170000</v>
      </c>
      <c r="G12" s="23" t="n">
        <f aca="false">SUMIFS(分行明細!$K$5:$K$187,分行明細!$E$5:$E$187,A12)</f>
        <v>3216095440</v>
      </c>
      <c r="H12" s="16" t="n">
        <f aca="false">IFERROR(G12/F12,0)</f>
        <v>0.957407764417996</v>
      </c>
      <c r="I12" s="16" t="n">
        <f aca="false">IFERROR(F12/E12-1,0)</f>
        <v>0.422719293633451</v>
      </c>
      <c r="J12" s="23" t="n">
        <f aca="false">G12-F12</f>
        <v>-143074560</v>
      </c>
      <c r="K12" s="23" t="n">
        <f aca="false">SUMIFS(分行明細!$O$5:$O$187,分行明細!$E$5:$E$187,A12)</f>
        <v>199557239</v>
      </c>
      <c r="L12" s="23" t="n">
        <f aca="false">SUMIFS(分行明細!$P$5:$P$187,分行明細!$E$5:$E$187,A12)</f>
        <v>-342631799</v>
      </c>
      <c r="M12" s="17" t="n">
        <f aca="false">COUNTIFS(分行明細!$E$5:$E$187,A12,分行明細!$N$5:$N$187,"&gt;=0")</f>
        <v>21</v>
      </c>
      <c r="N12" s="17" t="n">
        <f aca="false">COUNTIFS(分行明細!$E$5:$E$187,A12,分行明細!$N$5:$N$187,"&lt;0")</f>
        <v>32</v>
      </c>
      <c r="O12" s="17" t="n">
        <f aca="false">COUNTIFS(分行明細!$E$5:$E$187,A12,分行明細!$F$5:$F$187,"TYPE_5")+COUNTIFS(分行明細!$E$5:$E$187,A12,分行明細!$F$5:$F$187,"TYPE_6")</f>
        <v>32</v>
      </c>
      <c r="P12" s="17" t="n">
        <f aca="false">COUNTIFS(分行明細!$E$5:$E$187,A12,分行明細!$F$5:$F$187,"TYPE_6")</f>
        <v>9</v>
      </c>
      <c r="Q12" s="16" t="n">
        <f aca="false">IFERROR(P12/D12,0)</f>
        <v>0.169811320754717</v>
      </c>
    </row>
    <row r="13" customFormat="false" ht="15" hidden="false" customHeight="false" outlineLevel="0" collapsed="false">
      <c r="A13" s="17" t="s">
        <v>24</v>
      </c>
      <c r="B13" s="14" t="s">
        <v>254</v>
      </c>
      <c r="C13" s="14" t="s">
        <v>284</v>
      </c>
      <c r="D13" s="17" t="n">
        <f aca="false">COUNTIFS(分行明細!$E$5:$E$187,A13)</f>
        <v>24</v>
      </c>
      <c r="E13" s="23" t="n">
        <f aca="false">SUMIFS(分行明細!$H$5:$H$187,分行明細!$E$5:$E$187,A13)</f>
        <v>865274321</v>
      </c>
      <c r="F13" s="23" t="n">
        <f aca="false">SUMIFS(分行明細!$J$5:$J$187,分行明細!$E$5:$E$187,A13)</f>
        <v>1534960000</v>
      </c>
      <c r="G13" s="23" t="n">
        <f aca="false">SUMIFS(分行明細!$K$5:$K$187,分行明細!$E$5:$E$187,A13)</f>
        <v>1452417188</v>
      </c>
      <c r="H13" s="16" t="n">
        <f aca="false">IFERROR(G13/F13,0)</f>
        <v>0.946224779798822</v>
      </c>
      <c r="I13" s="16" t="n">
        <f aca="false">IFERROR(F13/E13-1,0)</f>
        <v>0.773957648744322</v>
      </c>
      <c r="J13" s="23" t="n">
        <f aca="false">G13-F13</f>
        <v>-82542812</v>
      </c>
      <c r="K13" s="23" t="n">
        <f aca="false">SUMIFS(分行明細!$O$5:$O$187,分行明細!$E$5:$E$187,A13)</f>
        <v>135762903</v>
      </c>
      <c r="L13" s="23" t="n">
        <f aca="false">SUMIFS(分行明細!$P$5:$P$187,分行明細!$E$5:$E$187,A13)</f>
        <v>-218305715</v>
      </c>
      <c r="M13" s="17" t="n">
        <f aca="false">COUNTIFS(分行明細!$E$5:$E$187,A13,分行明細!$N$5:$N$187,"&gt;=0")</f>
        <v>6</v>
      </c>
      <c r="N13" s="17" t="n">
        <f aca="false">COUNTIFS(分行明細!$E$5:$E$187,A13,分行明細!$N$5:$N$187,"&lt;0")</f>
        <v>18</v>
      </c>
      <c r="O13" s="17" t="n">
        <f aca="false">COUNTIFS(分行明細!$E$5:$E$187,A13,分行明細!$F$5:$F$187,"TYPE_5")+COUNTIFS(分行明細!$E$5:$E$187,A13,分行明細!$F$5:$F$187,"TYPE_6")</f>
        <v>18</v>
      </c>
      <c r="P13" s="17" t="n">
        <f aca="false">COUNTIFS(分行明細!$E$5:$E$187,A13,分行明細!$F$5:$F$187,"TYPE_6")</f>
        <v>7</v>
      </c>
      <c r="Q13" s="16" t="n">
        <f aca="false">IFERROR(P13/D13,0)</f>
        <v>0.291666666666667</v>
      </c>
    </row>
    <row r="14" customFormat="false" ht="15" hidden="false" customHeight="false" outlineLevel="0" collapsed="false">
      <c r="A14" s="18" t="s">
        <v>285</v>
      </c>
      <c r="B14" s="18"/>
      <c r="C14" s="18"/>
      <c r="D14" s="18" t="n">
        <f aca="false">SUM(D5:D10)</f>
        <v>70</v>
      </c>
      <c r="E14" s="24" t="n">
        <f aca="false">SUM(E5:E10)</f>
        <v>4636636011</v>
      </c>
      <c r="F14" s="24" t="n">
        <f aca="false">SUM(F5:F10)</f>
        <v>4739430000</v>
      </c>
      <c r="G14" s="24" t="n">
        <f aca="false">SUM(G5:G10)</f>
        <v>5534282288</v>
      </c>
      <c r="H14" s="20" t="n">
        <f aca="false">IFERROR(G14/F14,0)</f>
        <v>1.16771052383936</v>
      </c>
      <c r="I14" s="20" t="n">
        <f aca="false">IFERROR(F14/E14-1,0)</f>
        <v>0.0221699501009203</v>
      </c>
      <c r="J14" s="24" t="n">
        <f aca="false">SUM(J5:J10)</f>
        <v>794852288</v>
      </c>
      <c r="K14" s="24" t="n">
        <f aca="false">SUM(K5:K10)</f>
        <v>907542432</v>
      </c>
      <c r="L14" s="24" t="n">
        <f aca="false">SUM(L5:L10)</f>
        <v>-112690144</v>
      </c>
      <c r="M14" s="18" t="n">
        <f aca="false">SUM(M5:M10)</f>
        <v>52</v>
      </c>
      <c r="N14" s="18" t="n">
        <f aca="false">SUM(N5:N10)</f>
        <v>18</v>
      </c>
      <c r="O14" s="18" t="n">
        <f aca="false">SUM(O5:O10)</f>
        <v>18</v>
      </c>
      <c r="P14" s="18" t="n">
        <f aca="false">SUM(P5:P10)</f>
        <v>0</v>
      </c>
      <c r="Q14" s="20" t="n">
        <f aca="false">IFERROR(P14/D14,0)</f>
        <v>0</v>
      </c>
    </row>
    <row r="15" customFormat="false" ht="15" hidden="false" customHeight="false" outlineLevel="0" collapsed="false">
      <c r="A15" s="18" t="s">
        <v>286</v>
      </c>
      <c r="B15" s="18"/>
      <c r="C15" s="18"/>
      <c r="D15" s="18" t="n">
        <f aca="false">SUM(D11:D13)</f>
        <v>113</v>
      </c>
      <c r="E15" s="24" t="n">
        <f aca="false">SUM(E11:E13)</f>
        <v>4992956150</v>
      </c>
      <c r="F15" s="24" t="n">
        <f aca="false">SUM(F11:F13)</f>
        <v>7045950000</v>
      </c>
      <c r="G15" s="24" t="n">
        <f aca="false">SUM(G11:G13)</f>
        <v>6951317081</v>
      </c>
      <c r="H15" s="20" t="n">
        <f aca="false">IFERROR(G15/F15,0)</f>
        <v>0.986569175341863</v>
      </c>
      <c r="I15" s="20" t="n">
        <f aca="false">IFERROR(F15/E15-1,0)</f>
        <v>0.411178025266655</v>
      </c>
      <c r="J15" s="24" t="n">
        <f aca="false">SUM(J11:J13)</f>
        <v>-94632919</v>
      </c>
      <c r="K15" s="24" t="n">
        <f aca="false">SUM(K11:K13)</f>
        <v>615624210</v>
      </c>
      <c r="L15" s="24" t="n">
        <f aca="false">SUM(L11:L13)</f>
        <v>-710257129</v>
      </c>
      <c r="M15" s="18" t="n">
        <f aca="false">SUM(M11:M13)</f>
        <v>47</v>
      </c>
      <c r="N15" s="18" t="n">
        <f aca="false">SUM(N11:N13)</f>
        <v>66</v>
      </c>
      <c r="O15" s="18" t="n">
        <f aca="false">SUM(O11:O13)</f>
        <v>66</v>
      </c>
      <c r="P15" s="18" t="n">
        <f aca="false">SUM(P11:P13)</f>
        <v>19</v>
      </c>
      <c r="Q15" s="20" t="n">
        <f aca="false">IFERROR(P15/D15,0)</f>
        <v>0.168141592920354</v>
      </c>
    </row>
    <row r="16" customFormat="false" ht="15" hidden="false" customHeight="false" outlineLevel="0" collapsed="false">
      <c r="A16" s="18" t="s">
        <v>287</v>
      </c>
      <c r="B16" s="18"/>
      <c r="C16" s="18"/>
      <c r="D16" s="18" t="n">
        <f aca="false">SUM(D5:D13)</f>
        <v>183</v>
      </c>
      <c r="E16" s="24" t="n">
        <f aca="false">SUM(E5:E13)</f>
        <v>9629592161</v>
      </c>
      <c r="F16" s="24" t="n">
        <f aca="false">SUM(F5:F13)</f>
        <v>11785380000</v>
      </c>
      <c r="G16" s="24" t="n">
        <f aca="false">SUM(G5:G13)</f>
        <v>12485599369</v>
      </c>
      <c r="H16" s="20" t="n">
        <f aca="false">IFERROR(G16/F16,0)</f>
        <v>1.05941423772505</v>
      </c>
      <c r="I16" s="20" t="n">
        <f aca="false">IFERROR(F16/E16-1,0)</f>
        <v>0.223871146665066</v>
      </c>
      <c r="J16" s="24" t="n">
        <f aca="false">SUM(J5:J13)</f>
        <v>700219369</v>
      </c>
      <c r="K16" s="24" t="n">
        <f aca="false">SUM(K5:K13)</f>
        <v>1523166642</v>
      </c>
      <c r="L16" s="24" t="n">
        <f aca="false">SUM(L5:L13)</f>
        <v>-822947273</v>
      </c>
      <c r="M16" s="18" t="n">
        <f aca="false">SUM(M5:M13)</f>
        <v>99</v>
      </c>
      <c r="N16" s="18" t="n">
        <f aca="false">SUM(N5:N13)</f>
        <v>84</v>
      </c>
      <c r="O16" s="18" t="n">
        <f aca="false">SUM(O5:O13)</f>
        <v>84</v>
      </c>
      <c r="P16" s="18" t="n">
        <f aca="false">SUM(P5:P13)</f>
        <v>19</v>
      </c>
      <c r="Q16" s="20" t="n">
        <f aca="false">IFERROR(P16/D16,0)</f>
        <v>0.103825136612022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8" min="5" style="0" width="14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2" min="11" style="0" width="12"/>
    <col collapsed="false" customWidth="true" hidden="false" outlineLevel="0" max="13" min="13" style="0" width="11"/>
  </cols>
  <sheetData>
    <row r="1" customFormat="false" ht="15" hidden="false" customHeight="false" outlineLevel="0" collapsed="false">
      <c r="A1" s="13" t="s">
        <v>288</v>
      </c>
    </row>
    <row r="3" customFormat="false" ht="15" hidden="false" customHeight="false" outlineLevel="0" collapsed="false">
      <c r="D3" s="25" t="s">
        <v>289</v>
      </c>
    </row>
    <row r="4" customFormat="false" ht="42" hidden="false" customHeight="true" outlineLevel="0" collapsed="false">
      <c r="A4" s="4" t="s">
        <v>257</v>
      </c>
      <c r="B4" s="4" t="s">
        <v>258</v>
      </c>
      <c r="C4" s="4" t="s">
        <v>290</v>
      </c>
      <c r="D4" s="4" t="s">
        <v>291</v>
      </c>
      <c r="E4" s="4" t="s">
        <v>292</v>
      </c>
      <c r="F4" s="4" t="s">
        <v>293</v>
      </c>
      <c r="G4" s="4" t="s">
        <v>294</v>
      </c>
      <c r="H4" s="4" t="s">
        <v>295</v>
      </c>
      <c r="I4" s="4" t="s">
        <v>296</v>
      </c>
      <c r="J4" s="3" t="s">
        <v>216</v>
      </c>
      <c r="K4" s="4" t="s">
        <v>297</v>
      </c>
      <c r="L4" s="4" t="s">
        <v>298</v>
      </c>
      <c r="M4" s="3" t="s">
        <v>267</v>
      </c>
    </row>
    <row r="5" customFormat="false" ht="15" hidden="false" customHeight="false" outlineLevel="0" collapsed="false">
      <c r="A5" s="17" t="s">
        <v>96</v>
      </c>
      <c r="B5" s="17" t="s">
        <v>268</v>
      </c>
      <c r="C5" s="14" t="s">
        <v>269</v>
      </c>
      <c r="D5" s="26" t="n">
        <f aca="false">COUNTIFS(分行明細!$E$5:$E$187,$A5,分行明細!$F$5:$F$187,"TYPE_1")</f>
        <v>2</v>
      </c>
      <c r="E5" s="26" t="n">
        <f aca="false">COUNTIFS(分行明細!$E$5:$E$187,$A5,分行明細!$F$5:$F$187,"TYPE_2")</f>
        <v>0</v>
      </c>
      <c r="F5" s="26" t="n">
        <f aca="false">COUNTIFS(分行明細!$E$5:$E$187,$A5,分行明細!$F$5:$F$187,"TYPE_3")</f>
        <v>0</v>
      </c>
      <c r="G5" s="26" t="n">
        <f aca="false">COUNTIFS(分行明細!$E$5:$E$187,$A5,分行明細!$F$5:$F$187,"TYPE_4")</f>
        <v>0</v>
      </c>
      <c r="H5" s="26" t="n">
        <f aca="false">COUNTIFS(分行明細!$E$5:$E$187,$A5,分行明細!$F$5:$F$187,"TYPE_5")</f>
        <v>1</v>
      </c>
      <c r="I5" s="26" t="n">
        <f aca="false">COUNTIFS(分行明細!$E$5:$E$187,$A5,分行明細!$F$5:$F$187,"TYPE_6")</f>
        <v>0</v>
      </c>
      <c r="J5" s="17" t="n">
        <f aca="false">SUM(D5:I5)</f>
        <v>3</v>
      </c>
      <c r="K5" s="17" t="n">
        <f aca="false">H5+I5</f>
        <v>1</v>
      </c>
      <c r="L5" s="17" t="n">
        <f aca="false">I5</f>
        <v>0</v>
      </c>
      <c r="M5" s="16" t="n">
        <f aca="false">IFERROR(L5/J5,0)</f>
        <v>0</v>
      </c>
    </row>
    <row r="6" customFormat="false" ht="15" hidden="false" customHeight="false" outlineLevel="0" collapsed="false">
      <c r="A6" s="17" t="s">
        <v>38</v>
      </c>
      <c r="B6" s="17" t="s">
        <v>270</v>
      </c>
      <c r="C6" s="14" t="s">
        <v>271</v>
      </c>
      <c r="D6" s="26" t="n">
        <f aca="false">COUNTIFS(分行明細!$E$5:$E$187,$A6,分行明細!$F$5:$F$187,"TYPE_1")</f>
        <v>1</v>
      </c>
      <c r="E6" s="26" t="n">
        <f aca="false">COUNTIFS(分行明細!$E$5:$E$187,$A6,分行明細!$F$5:$F$187,"TYPE_2")</f>
        <v>0</v>
      </c>
      <c r="F6" s="26" t="n">
        <f aca="false">COUNTIFS(分行明細!$E$5:$E$187,$A6,分行明細!$F$5:$F$187,"TYPE_3")</f>
        <v>1</v>
      </c>
      <c r="G6" s="26" t="n">
        <f aca="false">COUNTIFS(分行明細!$E$5:$E$187,$A6,分行明細!$F$5:$F$187,"TYPE_4")</f>
        <v>1</v>
      </c>
      <c r="H6" s="26" t="n">
        <f aca="false">COUNTIFS(分行明細!$E$5:$E$187,$A6,分行明細!$F$5:$F$187,"TYPE_5")</f>
        <v>2</v>
      </c>
      <c r="I6" s="26" t="n">
        <f aca="false">COUNTIFS(分行明細!$E$5:$E$187,$A6,分行明細!$F$5:$F$187,"TYPE_6")</f>
        <v>0</v>
      </c>
      <c r="J6" s="17" t="n">
        <f aca="false">SUM(D6:I6)</f>
        <v>5</v>
      </c>
      <c r="K6" s="17" t="n">
        <f aca="false">H6+I6</f>
        <v>2</v>
      </c>
      <c r="L6" s="17" t="n">
        <f aca="false">I6</f>
        <v>0</v>
      </c>
      <c r="M6" s="16" t="n">
        <f aca="false">IFERROR(L6/J6,0)</f>
        <v>0</v>
      </c>
    </row>
    <row r="7" customFormat="false" ht="15" hidden="false" customHeight="false" outlineLevel="0" collapsed="false">
      <c r="A7" s="17" t="s">
        <v>22</v>
      </c>
      <c r="B7" s="17" t="s">
        <v>272</v>
      </c>
      <c r="C7" s="14" t="s">
        <v>273</v>
      </c>
      <c r="D7" s="26" t="n">
        <f aca="false">COUNTIFS(分行明細!$E$5:$E$187,$A7,分行明細!$F$5:$F$187,"TYPE_1")</f>
        <v>0</v>
      </c>
      <c r="E7" s="26" t="n">
        <f aca="false">COUNTIFS(分行明細!$E$5:$E$187,$A7,分行明細!$F$5:$F$187,"TYPE_2")</f>
        <v>1</v>
      </c>
      <c r="F7" s="26" t="n">
        <f aca="false">COUNTIFS(分行明細!$E$5:$E$187,$A7,分行明細!$F$5:$F$187,"TYPE_3")</f>
        <v>3</v>
      </c>
      <c r="G7" s="26" t="n">
        <f aca="false">COUNTIFS(分行明細!$E$5:$E$187,$A7,分行明細!$F$5:$F$187,"TYPE_4")</f>
        <v>7</v>
      </c>
      <c r="H7" s="26" t="n">
        <f aca="false">COUNTIFS(分行明細!$E$5:$E$187,$A7,分行明細!$F$5:$F$187,"TYPE_5")</f>
        <v>0</v>
      </c>
      <c r="I7" s="26" t="n">
        <f aca="false">COUNTIFS(分行明細!$E$5:$E$187,$A7,分行明細!$F$5:$F$187,"TYPE_6")</f>
        <v>0</v>
      </c>
      <c r="J7" s="17" t="n">
        <f aca="false">SUM(D7:I7)</f>
        <v>11</v>
      </c>
      <c r="K7" s="17" t="n">
        <f aca="false">H7+I7</f>
        <v>0</v>
      </c>
      <c r="L7" s="17" t="n">
        <f aca="false">I7</f>
        <v>0</v>
      </c>
      <c r="M7" s="16" t="n">
        <f aca="false">IFERROR(L7/J7,0)</f>
        <v>0</v>
      </c>
    </row>
    <row r="8" customFormat="false" ht="15" hidden="false" customHeight="false" outlineLevel="0" collapsed="false">
      <c r="A8" s="17" t="s">
        <v>21</v>
      </c>
      <c r="B8" s="17" t="s">
        <v>274</v>
      </c>
      <c r="C8" s="14" t="s">
        <v>275</v>
      </c>
      <c r="D8" s="26" t="n">
        <f aca="false">COUNTIFS(分行明細!$E$5:$E$187,$A8,分行明細!$F$5:$F$187,"TYPE_1")</f>
        <v>0</v>
      </c>
      <c r="E8" s="26" t="n">
        <f aca="false">COUNTIFS(分行明細!$E$5:$E$187,$A8,分行明細!$F$5:$F$187,"TYPE_2")</f>
        <v>1</v>
      </c>
      <c r="F8" s="26" t="n">
        <f aca="false">COUNTIFS(分行明細!$E$5:$E$187,$A8,分行明細!$F$5:$F$187,"TYPE_3")</f>
        <v>3</v>
      </c>
      <c r="G8" s="26" t="n">
        <f aca="false">COUNTIFS(分行明細!$E$5:$E$187,$A8,分行明細!$F$5:$F$187,"TYPE_4")</f>
        <v>1</v>
      </c>
      <c r="H8" s="26" t="n">
        <f aca="false">COUNTIFS(分行明細!$E$5:$E$187,$A8,分行明細!$F$5:$F$187,"TYPE_5")</f>
        <v>1</v>
      </c>
      <c r="I8" s="26" t="n">
        <f aca="false">COUNTIFS(分行明細!$E$5:$E$187,$A8,分行明細!$F$5:$F$187,"TYPE_6")</f>
        <v>0</v>
      </c>
      <c r="J8" s="17" t="n">
        <f aca="false">SUM(D8:I8)</f>
        <v>6</v>
      </c>
      <c r="K8" s="17" t="n">
        <f aca="false">H8+I8</f>
        <v>1</v>
      </c>
      <c r="L8" s="17" t="n">
        <f aca="false">I8</f>
        <v>0</v>
      </c>
      <c r="M8" s="16" t="n">
        <f aca="false">IFERROR(L8/J8,0)</f>
        <v>0</v>
      </c>
    </row>
    <row r="9" customFormat="false" ht="15" hidden="false" customHeight="false" outlineLevel="0" collapsed="false">
      <c r="A9" s="17" t="s">
        <v>28</v>
      </c>
      <c r="B9" s="17" t="s">
        <v>276</v>
      </c>
      <c r="C9" s="14" t="s">
        <v>277</v>
      </c>
      <c r="D9" s="26" t="n">
        <f aca="false">COUNTIFS(分行明細!$E$5:$E$187,$A9,分行明細!$F$5:$F$187,"TYPE_1")</f>
        <v>0</v>
      </c>
      <c r="E9" s="26" t="n">
        <f aca="false">COUNTIFS(分行明細!$E$5:$E$187,$A9,分行明細!$F$5:$F$187,"TYPE_2")</f>
        <v>0</v>
      </c>
      <c r="F9" s="26" t="n">
        <f aca="false">COUNTIFS(分行明細!$E$5:$E$187,$A9,分行明細!$F$5:$F$187,"TYPE_3")</f>
        <v>7</v>
      </c>
      <c r="G9" s="26" t="n">
        <f aca="false">COUNTIFS(分行明細!$E$5:$E$187,$A9,分行明細!$F$5:$F$187,"TYPE_4")</f>
        <v>13</v>
      </c>
      <c r="H9" s="26" t="n">
        <f aca="false">COUNTIFS(分行明細!$E$5:$E$187,$A9,分行明細!$F$5:$F$187,"TYPE_5")</f>
        <v>5</v>
      </c>
      <c r="I9" s="26" t="n">
        <f aca="false">COUNTIFS(分行明細!$E$5:$E$187,$A9,分行明細!$F$5:$F$187,"TYPE_6")</f>
        <v>0</v>
      </c>
      <c r="J9" s="17" t="n">
        <f aca="false">SUM(D9:I9)</f>
        <v>25</v>
      </c>
      <c r="K9" s="17" t="n">
        <f aca="false">H9+I9</f>
        <v>5</v>
      </c>
      <c r="L9" s="17" t="n">
        <f aca="false">I9</f>
        <v>0</v>
      </c>
      <c r="M9" s="16" t="n">
        <f aca="false">IFERROR(L9/J9,0)</f>
        <v>0</v>
      </c>
    </row>
    <row r="10" customFormat="false" ht="15" hidden="false" customHeight="false" outlineLevel="0" collapsed="false">
      <c r="A10" s="17" t="s">
        <v>25</v>
      </c>
      <c r="B10" s="17" t="s">
        <v>278</v>
      </c>
      <c r="C10" s="14" t="s">
        <v>279</v>
      </c>
      <c r="D10" s="26" t="n">
        <f aca="false">COUNTIFS(分行明細!$E$5:$E$187,$A10,分行明細!$F$5:$F$187,"TYPE_1")</f>
        <v>0</v>
      </c>
      <c r="E10" s="26" t="n">
        <f aca="false">COUNTIFS(分行明細!$E$5:$E$187,$A10,分行明細!$F$5:$F$187,"TYPE_2")</f>
        <v>0</v>
      </c>
      <c r="F10" s="26" t="n">
        <f aca="false">COUNTIFS(分行明細!$E$5:$E$187,$A10,分行明細!$F$5:$F$187,"TYPE_3")</f>
        <v>6</v>
      </c>
      <c r="G10" s="26" t="n">
        <f aca="false">COUNTIFS(分行明細!$E$5:$E$187,$A10,分行明細!$F$5:$F$187,"TYPE_4")</f>
        <v>5</v>
      </c>
      <c r="H10" s="26" t="n">
        <f aca="false">COUNTIFS(分行明細!$E$5:$E$187,$A10,分行明細!$F$5:$F$187,"TYPE_5")</f>
        <v>9</v>
      </c>
      <c r="I10" s="26" t="n">
        <f aca="false">COUNTIFS(分行明細!$E$5:$E$187,$A10,分行明細!$F$5:$F$187,"TYPE_6")</f>
        <v>0</v>
      </c>
      <c r="J10" s="17" t="n">
        <f aca="false">SUM(D10:I10)</f>
        <v>20</v>
      </c>
      <c r="K10" s="17" t="n">
        <f aca="false">H10+I10</f>
        <v>9</v>
      </c>
      <c r="L10" s="17" t="n">
        <f aca="false">I10</f>
        <v>0</v>
      </c>
      <c r="M10" s="16" t="n">
        <f aca="false">IFERROR(L10/J10,0)</f>
        <v>0</v>
      </c>
    </row>
    <row r="11" customFormat="false" ht="15" hidden="false" customHeight="false" outlineLevel="0" collapsed="false">
      <c r="A11" s="27" t="s">
        <v>27</v>
      </c>
      <c r="B11" s="27" t="s">
        <v>299</v>
      </c>
      <c r="C11" s="28" t="s">
        <v>300</v>
      </c>
      <c r="D11" s="26" t="n">
        <f aca="false">COUNTIFS(分行明細!$E$5:$E$187,$A11,分行明細!$F$5:$F$187,"TYPE_1")</f>
        <v>0</v>
      </c>
      <c r="E11" s="26" t="n">
        <f aca="false">COUNTIFS(分行明細!$E$5:$E$187,$A11,分行明細!$F$5:$F$187,"TYPE_2")</f>
        <v>1</v>
      </c>
      <c r="F11" s="26" t="n">
        <f aca="false">COUNTIFS(分行明細!$E$5:$E$187,$A11,分行明細!$F$5:$F$187,"TYPE_3")</f>
        <v>9</v>
      </c>
      <c r="G11" s="26" t="n">
        <f aca="false">COUNTIFS(分行明細!$E$5:$E$187,$A11,分行明細!$F$5:$F$187,"TYPE_4")</f>
        <v>10</v>
      </c>
      <c r="H11" s="26" t="n">
        <f aca="false">COUNTIFS(分行明細!$E$5:$E$187,$A11,分行明細!$F$5:$F$187,"TYPE_5")</f>
        <v>13</v>
      </c>
      <c r="I11" s="26" t="n">
        <f aca="false">COUNTIFS(分行明細!$E$5:$E$187,$A11,分行明細!$F$5:$F$187,"TYPE_6")</f>
        <v>3</v>
      </c>
      <c r="J11" s="17" t="n">
        <f aca="false">SUM(D11:I11)</f>
        <v>36</v>
      </c>
      <c r="K11" s="17" t="n">
        <f aca="false">H11+I11</f>
        <v>16</v>
      </c>
      <c r="L11" s="17" t="n">
        <f aca="false">I11</f>
        <v>3</v>
      </c>
      <c r="M11" s="16" t="n">
        <f aca="false">IFERROR(L11/J11,0)</f>
        <v>0.0833333333333333</v>
      </c>
    </row>
    <row r="12" customFormat="false" ht="15" hidden="false" customHeight="false" outlineLevel="0" collapsed="false">
      <c r="A12" s="27" t="s">
        <v>30</v>
      </c>
      <c r="B12" s="27" t="s">
        <v>301</v>
      </c>
      <c r="C12" s="28" t="s">
        <v>302</v>
      </c>
      <c r="D12" s="26" t="n">
        <f aca="false">COUNTIFS(分行明細!$E$5:$E$187,$A12,分行明細!$F$5:$F$187,"TYPE_1")</f>
        <v>0</v>
      </c>
      <c r="E12" s="26" t="n">
        <f aca="false">COUNTIFS(分行明細!$E$5:$E$187,$A12,分行明細!$F$5:$F$187,"TYPE_2")</f>
        <v>0</v>
      </c>
      <c r="F12" s="26" t="n">
        <f aca="false">COUNTIFS(分行明細!$E$5:$E$187,$A12,分行明細!$F$5:$F$187,"TYPE_3")</f>
        <v>8</v>
      </c>
      <c r="G12" s="26" t="n">
        <f aca="false">COUNTIFS(分行明細!$E$5:$E$187,$A12,分行明細!$F$5:$F$187,"TYPE_4")</f>
        <v>13</v>
      </c>
      <c r="H12" s="26" t="n">
        <f aca="false">COUNTIFS(分行明細!$E$5:$E$187,$A12,分行明細!$F$5:$F$187,"TYPE_5")</f>
        <v>23</v>
      </c>
      <c r="I12" s="26" t="n">
        <f aca="false">COUNTIFS(分行明細!$E$5:$E$187,$A12,分行明細!$F$5:$F$187,"TYPE_6")</f>
        <v>9</v>
      </c>
      <c r="J12" s="17" t="n">
        <f aca="false">SUM(D12:I12)</f>
        <v>53</v>
      </c>
      <c r="K12" s="17" t="n">
        <f aca="false">H12+I12</f>
        <v>32</v>
      </c>
      <c r="L12" s="17" t="n">
        <f aca="false">I12</f>
        <v>9</v>
      </c>
      <c r="M12" s="16" t="n">
        <f aca="false">IFERROR(L12/J12,0)</f>
        <v>0.169811320754717</v>
      </c>
    </row>
    <row r="13" customFormat="false" ht="15" hidden="false" customHeight="false" outlineLevel="0" collapsed="false">
      <c r="A13" s="27" t="s">
        <v>24</v>
      </c>
      <c r="B13" s="28" t="s">
        <v>303</v>
      </c>
      <c r="C13" s="28" t="s">
        <v>304</v>
      </c>
      <c r="D13" s="26" t="n">
        <f aca="false">COUNTIFS(分行明細!$E$5:$E$187,$A13,分行明細!$F$5:$F$187,"TYPE_1")</f>
        <v>0</v>
      </c>
      <c r="E13" s="26" t="n">
        <f aca="false">COUNTIFS(分行明細!$E$5:$E$187,$A13,分行明細!$F$5:$F$187,"TYPE_2")</f>
        <v>1</v>
      </c>
      <c r="F13" s="26" t="n">
        <f aca="false">COUNTIFS(分行明細!$E$5:$E$187,$A13,分行明細!$F$5:$F$187,"TYPE_3")</f>
        <v>3</v>
      </c>
      <c r="G13" s="26" t="n">
        <f aca="false">COUNTIFS(分行明細!$E$5:$E$187,$A13,分行明細!$F$5:$F$187,"TYPE_4")</f>
        <v>2</v>
      </c>
      <c r="H13" s="26" t="n">
        <f aca="false">COUNTIFS(分行明細!$E$5:$E$187,$A13,分行明細!$F$5:$F$187,"TYPE_5")</f>
        <v>11</v>
      </c>
      <c r="I13" s="26" t="n">
        <f aca="false">COUNTIFS(分行明細!$E$5:$E$187,$A13,分行明細!$F$5:$F$187,"TYPE_6")</f>
        <v>7</v>
      </c>
      <c r="J13" s="17" t="n">
        <f aca="false">SUM(D13:I13)</f>
        <v>24</v>
      </c>
      <c r="K13" s="17" t="n">
        <f aca="false">H13+I13</f>
        <v>18</v>
      </c>
      <c r="L13" s="17" t="n">
        <f aca="false">I13</f>
        <v>7</v>
      </c>
      <c r="M13" s="16" t="n">
        <f aca="false">IFERROR(L13/J13,0)</f>
        <v>0.291666666666667</v>
      </c>
    </row>
    <row r="14" customFormat="false" ht="15" hidden="false" customHeight="false" outlineLevel="0" collapsed="false">
      <c r="A14" s="18" t="s">
        <v>216</v>
      </c>
      <c r="B14" s="18"/>
      <c r="C14" s="18"/>
      <c r="D14" s="18" t="n">
        <f aca="false">SUM(D5:D13)</f>
        <v>3</v>
      </c>
      <c r="E14" s="18" t="n">
        <f aca="false">SUM(E5:E13)</f>
        <v>4</v>
      </c>
      <c r="F14" s="18" t="n">
        <f aca="false">SUM(F5:F13)</f>
        <v>40</v>
      </c>
      <c r="G14" s="18" t="n">
        <f aca="false">SUM(G5:G13)</f>
        <v>52</v>
      </c>
      <c r="H14" s="18" t="n">
        <f aca="false">SUM(H5:H13)</f>
        <v>65</v>
      </c>
      <c r="I14" s="18" t="n">
        <f aca="false">SUM(I5:I13)</f>
        <v>19</v>
      </c>
      <c r="J14" s="18" t="n">
        <f aca="false">SUM(J5:J13)</f>
        <v>183</v>
      </c>
      <c r="K14" s="18" t="n">
        <f aca="false">SUM(K5:K13)</f>
        <v>84</v>
      </c>
      <c r="L14" s="18" t="n">
        <f aca="false">SUM(L5:L13)</f>
        <v>19</v>
      </c>
      <c r="M14" s="20" t="n">
        <f aca="false">IFERROR(L14/J14,0)</f>
        <v>0.103825136612022</v>
      </c>
    </row>
    <row r="16" customFormat="false" ht="15" hidden="false" customHeight="false" outlineLevel="0" collapsed="false">
      <c r="A16" s="2" t="s">
        <v>305</v>
      </c>
    </row>
  </sheetData>
  <conditionalFormatting sqref="D5:I13">
    <cfRule type="colorScale" priority="2">
      <colorScale>
        <cfvo type="num" val="0"/>
        <cfvo type="num" val="23"/>
        <color rgb="FFFFFFFF"/>
        <color rgb="FFC000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30"/>
  </cols>
  <sheetData>
    <row r="1" customFormat="false" ht="15" hidden="false" customHeight="false" outlineLevel="0" collapsed="false">
      <c r="A1" s="13" t="s">
        <v>306</v>
      </c>
    </row>
    <row r="3" customFormat="false" ht="15" hidden="false" customHeight="false" outlineLevel="0" collapsed="false">
      <c r="A3" s="3" t="s">
        <v>307</v>
      </c>
      <c r="B3" s="3" t="s">
        <v>308</v>
      </c>
      <c r="C3" s="3" t="s">
        <v>309</v>
      </c>
      <c r="D3" s="3" t="s">
        <v>310</v>
      </c>
      <c r="E3" s="3" t="s">
        <v>311</v>
      </c>
    </row>
    <row r="4" customFormat="false" ht="15" hidden="false" customHeight="false" outlineLevel="0" collapsed="false">
      <c r="A4" s="29" t="s">
        <v>312</v>
      </c>
      <c r="B4" s="24" t="n">
        <f aca="false">級距彙總!F16</f>
        <v>11785380000</v>
      </c>
      <c r="C4" s="30" t="n">
        <f aca="false">B4/100000000</f>
        <v>117.8538</v>
      </c>
      <c r="D4" s="18" t="n">
        <f aca="false">級距彙總!D16</f>
        <v>183</v>
      </c>
      <c r="E4" s="31" t="s">
        <v>313</v>
      </c>
    </row>
    <row r="5" customFormat="false" ht="15" hidden="false" customHeight="false" outlineLevel="0" collapsed="false">
      <c r="A5" s="31" t="s">
        <v>314</v>
      </c>
      <c r="B5" s="24" t="n">
        <f aca="false">級距彙總!K16</f>
        <v>1523166642</v>
      </c>
      <c r="C5" s="30" t="n">
        <f aca="false">B5/100000000</f>
        <v>15.23166642</v>
      </c>
      <c r="D5" s="18" t="n">
        <f aca="false">級距彙總!M16</f>
        <v>99</v>
      </c>
      <c r="E5" s="31" t="s">
        <v>315</v>
      </c>
    </row>
    <row r="6" customFormat="false" ht="15" hidden="false" customHeight="false" outlineLevel="0" collapsed="false">
      <c r="A6" s="21" t="s">
        <v>316</v>
      </c>
      <c r="B6" s="23" t="n">
        <f aca="false">級距彙總!K14</f>
        <v>907542432</v>
      </c>
      <c r="C6" s="32" t="n">
        <f aca="false">B6/100000000</f>
        <v>9.07542432</v>
      </c>
      <c r="D6" s="17" t="n">
        <f aca="false">級距彙總!M14</f>
        <v>52</v>
      </c>
      <c r="E6" s="33" t="s">
        <v>317</v>
      </c>
    </row>
    <row r="7" customFormat="false" ht="15" hidden="false" customHeight="false" outlineLevel="0" collapsed="false">
      <c r="A7" s="21" t="s">
        <v>318</v>
      </c>
      <c r="B7" s="23" t="n">
        <f aca="false">級距彙總!K15</f>
        <v>615624210</v>
      </c>
      <c r="C7" s="32" t="n">
        <f aca="false">B7/100000000</f>
        <v>6.1562421</v>
      </c>
      <c r="D7" s="17" t="n">
        <f aca="false">級距彙總!M15</f>
        <v>47</v>
      </c>
      <c r="E7" s="33" t="s">
        <v>319</v>
      </c>
    </row>
    <row r="8" customFormat="false" ht="15" hidden="false" customHeight="false" outlineLevel="0" collapsed="false">
      <c r="A8" s="31" t="s">
        <v>320</v>
      </c>
      <c r="B8" s="24" t="n">
        <f aca="false">級距彙總!L16</f>
        <v>-822947273</v>
      </c>
      <c r="C8" s="30" t="n">
        <f aca="false">B8/100000000</f>
        <v>-8.22947273</v>
      </c>
      <c r="D8" s="18" t="n">
        <f aca="false">級距彙總!N16</f>
        <v>84</v>
      </c>
      <c r="E8" s="31" t="s">
        <v>321</v>
      </c>
    </row>
    <row r="9" customFormat="false" ht="15" hidden="false" customHeight="false" outlineLevel="0" collapsed="false">
      <c r="A9" s="21" t="s">
        <v>316</v>
      </c>
      <c r="B9" s="23" t="n">
        <f aca="false">級距彙總!L14</f>
        <v>-112690144</v>
      </c>
      <c r="C9" s="32" t="n">
        <f aca="false">B9/100000000</f>
        <v>-1.12690144</v>
      </c>
      <c r="D9" s="17" t="n">
        <f aca="false">級距彙總!N14</f>
        <v>18</v>
      </c>
      <c r="E9" s="33" t="s">
        <v>317</v>
      </c>
    </row>
    <row r="10" customFormat="false" ht="15" hidden="false" customHeight="false" outlineLevel="0" collapsed="false">
      <c r="A10" s="21" t="s">
        <v>318</v>
      </c>
      <c r="B10" s="23" t="n">
        <f aca="false">級距彙總!L15</f>
        <v>-710257129</v>
      </c>
      <c r="C10" s="32" t="n">
        <f aca="false">B10/100000000</f>
        <v>-7.10257129</v>
      </c>
      <c r="D10" s="17" t="n">
        <f aca="false">級距彙總!N15</f>
        <v>66</v>
      </c>
      <c r="E10" s="33" t="s">
        <v>319</v>
      </c>
    </row>
    <row r="11" customFormat="false" ht="15" hidden="false" customHeight="false" outlineLevel="0" collapsed="false">
      <c r="A11" s="21" t="s">
        <v>322</v>
      </c>
      <c r="B11" s="23" t="n">
        <f aca="false">級距彙總!L11</f>
        <v>-149319615</v>
      </c>
      <c r="C11" s="32" t="n">
        <f aca="false">B11/100000000</f>
        <v>-1.49319615</v>
      </c>
      <c r="D11" s="17" t="n">
        <f aca="false">級距彙總!N11</f>
        <v>16</v>
      </c>
      <c r="E11" s="33" t="s">
        <v>27</v>
      </c>
    </row>
    <row r="12" customFormat="false" ht="15" hidden="false" customHeight="false" outlineLevel="0" collapsed="false">
      <c r="A12" s="21" t="s">
        <v>323</v>
      </c>
      <c r="B12" s="23" t="n">
        <f aca="false">級距彙總!L12</f>
        <v>-342631799</v>
      </c>
      <c r="C12" s="32" t="n">
        <f aca="false">B12/100000000</f>
        <v>-3.42631799</v>
      </c>
      <c r="D12" s="17" t="n">
        <f aca="false">級距彙總!N12</f>
        <v>32</v>
      </c>
      <c r="E12" s="33" t="s">
        <v>30</v>
      </c>
    </row>
    <row r="13" customFormat="false" ht="15" hidden="false" customHeight="false" outlineLevel="0" collapsed="false">
      <c r="A13" s="21" t="s">
        <v>324</v>
      </c>
      <c r="B13" s="23" t="n">
        <f aca="false">級距彙總!L13</f>
        <v>-218305715</v>
      </c>
      <c r="C13" s="32" t="n">
        <f aca="false">B13/100000000</f>
        <v>-2.18305715</v>
      </c>
      <c r="D13" s="17" t="n">
        <f aca="false">級距彙總!N13</f>
        <v>18</v>
      </c>
      <c r="E13" s="33" t="s">
        <v>24</v>
      </c>
    </row>
    <row r="14" customFormat="false" ht="15" hidden="false" customHeight="false" outlineLevel="0" collapsed="false">
      <c r="A14" s="31" t="s">
        <v>325</v>
      </c>
      <c r="B14" s="24" t="n">
        <f aca="false">B4+B5+B8</f>
        <v>12485599369</v>
      </c>
      <c r="C14" s="30" t="n">
        <f aca="false">B14/100000000</f>
        <v>124.85599369</v>
      </c>
      <c r="D14" s="18" t="n">
        <f aca="false">級距彙總!D16</f>
        <v>183</v>
      </c>
      <c r="E14" s="31" t="s">
        <v>326</v>
      </c>
    </row>
    <row r="15" customFormat="false" ht="15" hidden="false" customHeight="false" outlineLevel="0" collapsed="false">
      <c r="A15" s="33" t="s">
        <v>327</v>
      </c>
      <c r="B15" s="16" t="n">
        <f aca="false">B14/B4</f>
        <v>1.05941423772505</v>
      </c>
      <c r="C15" s="17"/>
      <c r="D15" s="17"/>
      <c r="E15" s="21" t="s">
        <v>328</v>
      </c>
    </row>
    <row r="16" customFormat="false" ht="15" hidden="false" customHeight="false" outlineLevel="0" collapsed="false">
      <c r="A16" s="21" t="s">
        <v>329</v>
      </c>
      <c r="B16" s="16" t="n">
        <f aca="false">B10/B8</f>
        <v>0.863065171126705</v>
      </c>
      <c r="C16" s="17"/>
      <c r="D16" s="17"/>
      <c r="E16" s="21" t="s">
        <v>330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55"/>
  </cols>
  <sheetData>
    <row r="1" customFormat="false" ht="15" hidden="false" customHeight="false" outlineLevel="0" collapsed="false">
      <c r="A1" s="13" t="s">
        <v>331</v>
      </c>
    </row>
    <row r="3" customFormat="false" ht="15" hidden="false" customHeight="false" outlineLevel="0" collapsed="false">
      <c r="A3" s="3" t="s">
        <v>307</v>
      </c>
      <c r="B3" s="3" t="s">
        <v>308</v>
      </c>
      <c r="C3" s="3" t="s">
        <v>309</v>
      </c>
      <c r="D3" s="3" t="s">
        <v>332</v>
      </c>
      <c r="E3" s="3" t="s">
        <v>311</v>
      </c>
    </row>
    <row r="4" customFormat="false" ht="15" hidden="false" customHeight="false" outlineLevel="0" collapsed="false">
      <c r="A4" s="21" t="s">
        <v>221</v>
      </c>
      <c r="B4" s="17" t="n">
        <f aca="false">COUNTIFS(分行明細!$F$5:$F$187,"TYPE_6")</f>
        <v>19</v>
      </c>
      <c r="C4" s="17"/>
      <c r="D4" s="17"/>
      <c r="E4" s="33" t="s">
        <v>333</v>
      </c>
    </row>
    <row r="5" customFormat="false" ht="15" hidden="false" customHeight="false" outlineLevel="0" collapsed="false">
      <c r="A5" s="33" t="s">
        <v>334</v>
      </c>
      <c r="B5" s="23" t="n">
        <f aca="false">SUMIFS(分行明細!$J$5:$J$187,分行明細!$F$5:$F$187,"TYPE_6")</f>
        <v>1097730000</v>
      </c>
      <c r="C5" s="15" t="n">
        <f aca="false">B5/100000000</f>
        <v>10.9773</v>
      </c>
      <c r="D5" s="34" t="n">
        <f aca="false">B5/B6-1</f>
        <v>0.461482261742834</v>
      </c>
      <c r="E5" s="33"/>
    </row>
    <row r="6" customFormat="false" ht="15" hidden="false" customHeight="false" outlineLevel="0" collapsed="false">
      <c r="A6" s="33" t="s">
        <v>335</v>
      </c>
      <c r="B6" s="23" t="n">
        <f aca="false">SUMIFS(分行明細!$K$5:$K$187,分行明細!$F$5:$F$187,"TYPE_6")</f>
        <v>751107303</v>
      </c>
      <c r="C6" s="15" t="n">
        <f aca="false">B6/100000000</f>
        <v>7.51107303</v>
      </c>
      <c r="D6" s="34" t="n">
        <f aca="false">B6/B6-1</f>
        <v>0</v>
      </c>
      <c r="E6" s="33"/>
    </row>
    <row r="7" customFormat="false" ht="15" hidden="false" customHeight="false" outlineLevel="0" collapsed="false">
      <c r="A7" s="33" t="s">
        <v>327</v>
      </c>
      <c r="B7" s="16" t="n">
        <f aca="false">B6/B5</f>
        <v>0.684236836927113</v>
      </c>
      <c r="C7" s="15"/>
      <c r="D7" s="34"/>
      <c r="E7" s="21" t="s">
        <v>328</v>
      </c>
    </row>
    <row r="8" customFormat="false" ht="15" hidden="false" customHeight="false" outlineLevel="0" collapsed="false">
      <c r="A8" s="33" t="s">
        <v>336</v>
      </c>
      <c r="B8" s="23" t="n">
        <f aca="false">B5*B11</f>
        <v>1262389500</v>
      </c>
      <c r="C8" s="15" t="n">
        <f aca="false">B8/100000000</f>
        <v>12.623895</v>
      </c>
      <c r="D8" s="34" t="n">
        <f aca="false">B8/B6-1</f>
        <v>0.680704601004259</v>
      </c>
      <c r="E8" s="33" t="s">
        <v>337</v>
      </c>
    </row>
    <row r="9" customFormat="false" ht="15" hidden="false" customHeight="false" outlineLevel="0" collapsed="false">
      <c r="A9" s="33" t="s">
        <v>338</v>
      </c>
      <c r="B9" s="23" t="n">
        <f aca="false">B6*B12</f>
        <v>773640522.09</v>
      </c>
      <c r="C9" s="15" t="n">
        <f aca="false">B9/100000000</f>
        <v>7.7364052209</v>
      </c>
      <c r="D9" s="34" t="n">
        <f aca="false">B9/B6-1</f>
        <v>0.03</v>
      </c>
      <c r="E9" s="21" t="s">
        <v>339</v>
      </c>
    </row>
    <row r="11" customFormat="false" ht="15" hidden="false" customHeight="false" outlineLevel="0" collapsed="false">
      <c r="A11" s="35" t="s">
        <v>340</v>
      </c>
      <c r="B11" s="36" t="n">
        <v>1.15</v>
      </c>
    </row>
    <row r="12" customFormat="false" ht="15" hidden="false" customHeight="false" outlineLevel="0" collapsed="false">
      <c r="A12" s="35" t="s">
        <v>341</v>
      </c>
      <c r="B12" s="36" t="n">
        <v>1.03</v>
      </c>
    </row>
    <row r="13" customFormat="false" ht="15" hidden="false" customHeight="false" outlineLevel="0" collapsed="false">
      <c r="A13" s="2" t="s">
        <v>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2026-10-21T02:34:15Z</dcterms:created>
  <dc:creator>openpyxl</dc:creator>
  <dc:description/>
  <dc:language>en-US</dc:language>
  <cp:lastModifiedBy/>
  <dcterms:modified xsi:type="dcterms:W3CDTF">2026-10-21T02:34:15Z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